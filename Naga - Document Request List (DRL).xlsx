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kchay\Desktop\BDO_Year_End_Dec_2025\"/>
    </mc:Choice>
  </mc:AlternateContent>
  <bookViews>
    <workbookView xWindow="0" yWindow="0" windowWidth="28800" windowHeight="12585" activeTab="3"/>
  </bookViews>
  <sheets>
    <sheet name="A. Organizational Information" sheetId="1" r:id="rId1"/>
    <sheet name="B. Access to Program &amp; Data" sheetId="2" r:id="rId2"/>
    <sheet name="C. Program Changes" sheetId="3" r:id="rId3"/>
    <sheet name="D. Program Development" sheetId="4" r:id="rId4"/>
    <sheet name="E. Computer Operations" sheetId="6" r:id="rId5"/>
  </sheets>
  <definedNames>
    <definedName name="_xlnm.Print_Area" localSheetId="0">'A. Organizational Information'!$A$1:$F$10</definedName>
    <definedName name="_xlnm.Print_Area" localSheetId="1">'B. Access to Program &amp; Data'!$A$1:$N$72</definedName>
    <definedName name="_xlnm.Print_Area" localSheetId="2">'C. Program Changes'!$A$1:$N$18</definedName>
    <definedName name="_xlnm.Print_Area" localSheetId="3">'D. Program Development'!$A$1:$H$9</definedName>
    <definedName name="_xlnm.Print_Area" localSheetId="4">'E. Computer Operations'!$A$1:$N$22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6" l="1"/>
  <c r="N4" i="3"/>
  <c r="N4" i="2"/>
  <c r="E8" i="6"/>
  <c r="F8" i="6"/>
  <c r="G8" i="6"/>
  <c r="H8" i="6"/>
  <c r="E8" i="3"/>
  <c r="F8" i="3"/>
  <c r="G8" i="3"/>
  <c r="H8" i="3"/>
  <c r="H8" i="2"/>
  <c r="G8" i="2"/>
  <c r="F8" i="2"/>
  <c r="E8" i="2"/>
  <c r="N5" i="6"/>
  <c r="N3" i="6"/>
  <c r="N2" i="6"/>
  <c r="C22" i="6"/>
  <c r="C19" i="6"/>
  <c r="C15" i="6"/>
  <c r="C9" i="6"/>
  <c r="N5" i="2"/>
  <c r="N3" i="2"/>
  <c r="N2" i="2"/>
  <c r="N5" i="3"/>
  <c r="N3" i="3"/>
  <c r="N2" i="3"/>
  <c r="F5" i="4"/>
  <c r="F4" i="4"/>
  <c r="F3" i="4"/>
  <c r="F2" i="4"/>
  <c r="C9" i="3"/>
  <c r="C65" i="2"/>
  <c r="C61" i="2"/>
  <c r="C57" i="2"/>
  <c r="C9" i="2"/>
  <c r="C29" i="2"/>
  <c r="C12" i="1"/>
  <c r="C13" i="1"/>
  <c r="E3" i="1"/>
  <c r="C2" i="1"/>
  <c r="C2" i="4" s="1"/>
  <c r="E2" i="1"/>
  <c r="E5" i="1"/>
  <c r="E4" i="1"/>
  <c r="C1" i="6"/>
  <c r="C1" i="4"/>
  <c r="C1" i="3"/>
  <c r="C1" i="2"/>
  <c r="G3" i="4" l="1"/>
  <c r="F5" i="1"/>
  <c r="O2" i="6"/>
  <c r="O4" i="6"/>
  <c r="O3" i="6"/>
  <c r="O5" i="6"/>
  <c r="G5" i="4"/>
  <c r="G2" i="4"/>
  <c r="G4" i="4"/>
  <c r="O4" i="3"/>
  <c r="O5" i="3"/>
  <c r="O2" i="3"/>
  <c r="O3" i="3"/>
  <c r="O5" i="2"/>
  <c r="O2" i="2"/>
  <c r="O3" i="2"/>
  <c r="O4" i="2"/>
  <c r="F2" i="1"/>
  <c r="F3" i="1"/>
  <c r="F4" i="1"/>
  <c r="C2" i="6"/>
  <c r="C2" i="2"/>
  <c r="C2" i="3"/>
</calcChain>
</file>

<file path=xl/sharedStrings.xml><?xml version="1.0" encoding="utf-8"?>
<sst xmlns="http://schemas.openxmlformats.org/spreadsheetml/2006/main" count="930" uniqueCount="126">
  <si>
    <t>CLIENT NAME:</t>
  </si>
  <si>
    <t>Item</t>
  </si>
  <si>
    <t>Percentage</t>
  </si>
  <si>
    <t>YEAR END:</t>
  </si>
  <si>
    <t>All Received</t>
  </si>
  <si>
    <t>Partially Received</t>
  </si>
  <si>
    <t>Not Applicable</t>
  </si>
  <si>
    <t>Not Received</t>
  </si>
  <si>
    <t>List of Items Requested / Inquired</t>
  </si>
  <si>
    <t>Area</t>
  </si>
  <si>
    <t>File Ref</t>
  </si>
  <si>
    <t>Document / Evidence Requested</t>
  </si>
  <si>
    <t>Status</t>
  </si>
  <si>
    <t>Client's Remarks</t>
  </si>
  <si>
    <t>BDO Remarks</t>
  </si>
  <si>
    <t>A1</t>
  </si>
  <si>
    <t>A2</t>
  </si>
  <si>
    <t>A3</t>
  </si>
  <si>
    <t>A4</t>
  </si>
  <si>
    <t>A5</t>
  </si>
  <si>
    <t>A6</t>
  </si>
  <si>
    <t>Network diagrams / architectures</t>
  </si>
  <si>
    <t>B1</t>
  </si>
  <si>
    <t>B1a</t>
  </si>
  <si>
    <t>B2</t>
  </si>
  <si>
    <t>B3</t>
  </si>
  <si>
    <t>B4</t>
  </si>
  <si>
    <t>B5</t>
  </si>
  <si>
    <t>B5a</t>
  </si>
  <si>
    <t>B6</t>
  </si>
  <si>
    <t>Identification and Authentication (Password Settings)</t>
  </si>
  <si>
    <t>B7</t>
  </si>
  <si>
    <t>B8</t>
  </si>
  <si>
    <t>B9</t>
  </si>
  <si>
    <t>Monitoring</t>
  </si>
  <si>
    <t>B10</t>
  </si>
  <si>
    <t>B11</t>
  </si>
  <si>
    <t>Super Users (Users with Privileged Functions)</t>
  </si>
  <si>
    <t>B12</t>
  </si>
  <si>
    <t>C1</t>
  </si>
  <si>
    <t>C1a</t>
  </si>
  <si>
    <r>
      <rPr>
        <sz val="11"/>
        <color rgb="FF000000"/>
        <rFont val="Trebuchet MS"/>
        <family val="2"/>
      </rPr>
      <t xml:space="preserve">Screenshot of extraction step of the user listing extracted for C1. 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be consistent with the user listing)</t>
    </r>
  </si>
  <si>
    <t>C2</t>
  </si>
  <si>
    <t>C3</t>
  </si>
  <si>
    <r>
      <rPr>
        <sz val="11"/>
        <color rgb="FF000000"/>
        <rFont val="Trebuchet MS"/>
        <family val="2"/>
      </rPr>
      <t xml:space="preserve">Screenshot of extraction step of the user listing extracted for C4. 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be consistent with the user listing)</t>
    </r>
  </si>
  <si>
    <t>Program Development Management / Product Acquisition</t>
  </si>
  <si>
    <t>D1</t>
  </si>
  <si>
    <r>
      <rPr>
        <sz val="11"/>
        <color rgb="FF000000"/>
        <rFont val="Trebuchet MS"/>
        <family val="2"/>
      </rPr>
      <t xml:space="preserve">List of system / program development conducted for audit review period that has impact to financial reporting which includes (but not limited to):
• </t>
    </r>
    <r>
      <rPr>
        <b/>
        <sz val="11"/>
        <color rgb="FF000000"/>
        <rFont val="Trebuchet MS"/>
        <family val="2"/>
      </rPr>
      <t xml:space="preserve">Business and IT approvals 
• Meeting minutes
• Project Management Plan (sighted, received the signed agreement)
• Functional / Design specifications (sighted, received the signed agreement)
• System &amp; User Acceptance Testings samples
• Data Migration (sign-off of closing balance and opening balance)
• End user training
• Post implementation review
• Cessation of a project
</t>
    </r>
  </si>
  <si>
    <t>D1a</t>
  </si>
  <si>
    <r>
      <rPr>
        <sz val="11"/>
        <color rgb="FF000000"/>
        <rFont val="Trebuchet MS"/>
        <family val="2"/>
      </rPr>
      <t xml:space="preserve">Screenshot of extraction step of the user listing extracted for D1. 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be consistent with the user listing)</t>
    </r>
  </si>
  <si>
    <t>E1</t>
  </si>
  <si>
    <t>E1a</t>
  </si>
  <si>
    <r>
      <rPr>
        <sz val="11"/>
        <color rgb="FF000000"/>
        <rFont val="Trebuchet MS"/>
        <family val="2"/>
      </rPr>
      <t xml:space="preserve">Screenshot of extraction step of the listing extracted for E1. 
</t>
    </r>
    <r>
      <rPr>
        <b/>
        <i/>
        <sz val="10"/>
        <color rgb="FFFF0000"/>
        <rFont val="Trebuchet MS"/>
        <family val="2"/>
      </rPr>
      <t xml:space="preserve">Please ensure the below are included in the screenshot:
1) Timestamp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</si>
  <si>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</si>
  <si>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</si>
  <si>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</si>
  <si>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</si>
  <si>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</si>
  <si>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</si>
  <si>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</si>
  <si>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</si>
  <si>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</si>
  <si>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E10a</t>
  </si>
  <si>
    <t>E11</t>
  </si>
  <si>
    <t>E12</t>
  </si>
  <si>
    <t>Policies &amp; Procedures which include the following, but not limited to:
• User Access Management
• Password Management
• User Access Rights Review and Monitoring
• Privileged Access Management
• Program Change Management
• Program Development Management (System Development Life Cycle)
• Batch Jobs Monitoring
• Backup &amp; Restoration Management
• Incident / Problem Management</t>
  </si>
  <si>
    <t>IT Organization Chart</t>
  </si>
  <si>
    <t>Finance Organization Chart</t>
  </si>
  <si>
    <t>Information Security</t>
  </si>
  <si>
    <t>User Access Administration
(Creation, Deletion/Deactivation and Modifcation)</t>
  </si>
  <si>
    <t>Layers</t>
  </si>
  <si>
    <t>Operating System (OS)</t>
  </si>
  <si>
    <t>Database (DB)</t>
  </si>
  <si>
    <t>Application (APP)</t>
  </si>
  <si>
    <r>
      <rPr>
        <sz val="11"/>
        <color rgb="FF000000"/>
        <rFont val="Trebuchet MS"/>
        <family val="2"/>
      </rPr>
      <t xml:space="preserve">System screenshots of extraction step of the user listing extracted for B5. 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match with the total number of users shown in the user listing)</t>
    </r>
  </si>
  <si>
    <r>
      <rPr>
        <sz val="11"/>
        <color rgb="FF000000"/>
        <rFont val="Trebuchet MS"/>
        <family val="2"/>
      </rPr>
      <t xml:space="preserve">System screenshots of extraction step of the user listing extracted for B1. 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match with the total number of users shown in the user listing)</t>
    </r>
  </si>
  <si>
    <r>
      <t xml:space="preserve">System screenshot of password and security settings for the in-scope systems:
- Password minimum length
- Password complexity
- Password history
- Password expiration
- Account lockout threshold
- Account lockout duration
</t>
    </r>
    <r>
      <rPr>
        <b/>
        <i/>
        <sz val="11"/>
        <color rgb="FFFF0000"/>
        <rFont val="Trebuchet MS"/>
        <family val="2"/>
      </rPr>
      <t xml:space="preserve">Please ensure the below are included in the screenshot:
1) Timestamp </t>
    </r>
  </si>
  <si>
    <r>
      <t xml:space="preserve">System screenshot of login page to the respective systems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match with the total number of users shown in the user listing)</t>
    </r>
  </si>
  <si>
    <t>Windows Active Directory (AD)</t>
  </si>
  <si>
    <r>
      <t xml:space="preserve">Relevant data elements (RDE) within listing should include but not limited to the following:
- User ID
- User name
- User Creation date
- User Modification date
- User Disable/Deletion/Deactivation date
</t>
    </r>
    <r>
      <rPr>
        <b/>
        <i/>
        <sz val="11"/>
        <color rgb="FFFF0000"/>
        <rFont val="Trebuchet MS"/>
        <family val="2"/>
      </rPr>
      <t>'Note: If system generated list is not available, to consider below options if applicable
Option A - Ticketing system list of user access creation / deletion or deactivation / modification'</t>
    </r>
  </si>
  <si>
    <t>Relevant data elements (RDE) within listing should include but not limited to the following:
- Employee ID
- Employee name
- Resignation date</t>
  </si>
  <si>
    <t>The evidence shall include the below:
• The review of inactive, dormant, obsolete user access.
• The review of user's access to the system, to ensure the access granted matches the job description."</t>
  </si>
  <si>
    <r>
      <t xml:space="preserve">Evidence (Configuration) of SSO (Single-sign-on)  / Two-factor authentication (2FA) to any of the in-scope systems  (if applicable)
</t>
    </r>
    <r>
      <rPr>
        <b/>
        <i/>
        <sz val="11"/>
        <color rgb="FFFF0000"/>
        <rFont val="Trebuchet MS"/>
        <family val="2"/>
      </rPr>
      <t>Please ensure the below are included in the screenshot:
1) Timestamp</t>
    </r>
  </si>
  <si>
    <t>Note: If system generated list is not available, to consider below options if applicable
Option A - Ticketing system list of program change requests'</t>
  </si>
  <si>
    <t>List of users with access to migrate / perform changes for all in-scope systems</t>
  </si>
  <si>
    <t>C3a</t>
  </si>
  <si>
    <t>Incident &amp; Problem Management</t>
  </si>
  <si>
    <t>E4a</t>
  </si>
  <si>
    <r>
      <rPr>
        <sz val="11"/>
        <color rgb="FF000000"/>
        <rFont val="Trebuchet MS"/>
        <family val="2"/>
      </rPr>
      <t xml:space="preserve">Screenshot of extraction step of the user listing extracted for E4. 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be consistent with the user listing)</t>
    </r>
  </si>
  <si>
    <t>System list of users with access to modify backup schedules for all in-scope application</t>
  </si>
  <si>
    <r>
      <rPr>
        <sz val="11"/>
        <color rgb="FF000000"/>
        <rFont val="Trebuchet MS"/>
        <family val="2"/>
      </rPr>
      <t xml:space="preserve">Screenshot of extraction step of the user listing extracted for E9. 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be consistent with the user listing)</t>
    </r>
  </si>
  <si>
    <t>Formalized Service Level Agreement (SLA) for each category of severity / priority of incidents</t>
  </si>
  <si>
    <r>
      <t xml:space="preserve">Evidence of samples of job processing monitoring (e.g. audit logs, reviews, checklist, notification) conducted for all in-scope applications
</t>
    </r>
    <r>
      <rPr>
        <b/>
        <i/>
        <sz val="11"/>
        <color rgb="FFFF0000"/>
        <rFont val="Trebuchet MS"/>
        <family val="2"/>
      </rPr>
      <t>Note: Sample will only be selected when E1 is received.</t>
    </r>
  </si>
  <si>
    <t>System generated list of users with access to modify batch jobs for all in-scope application</t>
  </si>
  <si>
    <r>
      <t xml:space="preserve">Evidences of samples of user access creation request samples
The evidence shall include the following but not limited to:
- Approvals obtained prior to access creation
- Access requested by user
- Access granted upon creation
</t>
    </r>
    <r>
      <rPr>
        <b/>
        <i/>
        <sz val="11"/>
        <color rgb="FFFF0000"/>
        <rFont val="Trebuchet MS"/>
        <family val="2"/>
      </rPr>
      <t>Note: Sample will only be selected when B1 is received.</t>
    </r>
  </si>
  <si>
    <r>
      <t xml:space="preserve">Evidences of samples of user access modification request samples
The evidence shall include the following but not limited to:
- Approvals obtained prior to access modification
- Access requested by user
- Access granted upon modification
</t>
    </r>
    <r>
      <rPr>
        <b/>
        <i/>
        <sz val="11"/>
        <color rgb="FFFF0000"/>
        <rFont val="Trebuchet MS"/>
        <family val="2"/>
      </rPr>
      <t>Note: Sample will only be selected when B1 is received.</t>
    </r>
  </si>
  <si>
    <r>
      <t xml:space="preserve">Evidences of samples of user access disablement/deletion/deactivation request samples
The evidence shall include the following but not limited to:
- Approvals obtained prior to access disablement/deletion/deactivation (if any)
- User termination / resignation date
</t>
    </r>
    <r>
      <rPr>
        <b/>
        <i/>
        <sz val="11"/>
        <color rgb="FFFF0000"/>
        <rFont val="Trebuchet MS"/>
        <family val="2"/>
      </rPr>
      <t>Note: Sample will only be selected when B1 is received.</t>
    </r>
  </si>
  <si>
    <r>
      <t xml:space="preserve">Evidence of samples of program changes for all in-scope systems which includes but not limited to:
- Approvals obtained prior to development of program change
- User acceptance testing (UAT) performed over approved changes with sign offs by tester
- Approvals obtained prior to deployment of program change
- Post implaementation review of the approved changes made
</t>
    </r>
    <r>
      <rPr>
        <b/>
        <i/>
        <sz val="11"/>
        <color rgb="FFFF0000"/>
        <rFont val="Trebuchet MS"/>
        <family val="2"/>
      </rPr>
      <t>Note: Sample will only be selected when C1 is received.</t>
    </r>
  </si>
  <si>
    <r>
      <t xml:space="preserve">Screenshot of email/notification raised for batch job status (in the event of errors)
</t>
    </r>
    <r>
      <rPr>
        <b/>
        <i/>
        <sz val="11"/>
        <color rgb="FFFF0000"/>
        <rFont val="Trebuchet MS"/>
        <family val="2"/>
      </rPr>
      <t>*Only applicable for automated job processing monitoring*</t>
    </r>
  </si>
  <si>
    <t>E5a</t>
  </si>
  <si>
    <r>
      <rPr>
        <sz val="11"/>
        <color rgb="FF000000"/>
        <rFont val="Trebuchet MS"/>
        <family val="2"/>
      </rPr>
      <t xml:space="preserve">Screenshot of extraction step of the listing extracted for E5. 
</t>
    </r>
    <r>
      <rPr>
        <b/>
        <i/>
        <sz val="10"/>
        <color rgb="FFFF0000"/>
        <rFont val="Trebuchet MS"/>
        <family val="2"/>
      </rPr>
      <t xml:space="preserve">Please ensure the below are included in the screenshot:
1) Timestamp </t>
    </r>
  </si>
  <si>
    <r>
      <t xml:space="preserve">Evidence of samples of backup monitoring (e.g. audit logs, reviews, checklist, notification) conducted for all in-scope applications
</t>
    </r>
    <r>
      <rPr>
        <b/>
        <i/>
        <sz val="11"/>
        <color rgb="FFFF0000"/>
        <rFont val="Trebuchet MS"/>
        <family val="2"/>
      </rPr>
      <t>Note: Sample will only be selected when E5 is received.</t>
    </r>
  </si>
  <si>
    <r>
      <rPr>
        <sz val="11"/>
        <color rgb="FF000000"/>
        <rFont val="Trebuchet MS"/>
        <family val="2"/>
      </rPr>
      <t xml:space="preserve">Screenshot of email/notification raised for backup status (in the event of errors)
</t>
    </r>
    <r>
      <rPr>
        <b/>
        <i/>
        <sz val="11"/>
        <color rgb="FFFF0000"/>
        <rFont val="Trebuchet MS"/>
        <family val="2"/>
      </rPr>
      <t>*Only applicable for automated job processing monitoring*</t>
    </r>
  </si>
  <si>
    <t>E9a</t>
  </si>
  <si>
    <r>
      <rPr>
        <sz val="11"/>
        <color rgb="FF000000"/>
        <rFont val="Trebuchet MS"/>
        <family val="2"/>
      </rPr>
      <t xml:space="preserve">Screenshot of extraction step of the report log extracted for E10. 
</t>
    </r>
    <r>
      <rPr>
        <b/>
        <i/>
        <sz val="10"/>
        <color rgb="FFFF0000"/>
        <rFont val="Trebuchet MS"/>
        <family val="2"/>
      </rPr>
      <t xml:space="preserve">Please ensure the below are included in the screenshot:
1) Timestamp </t>
    </r>
  </si>
  <si>
    <r>
      <t xml:space="preserve">Evidence of samples of resolution of incident tickets for all in-scope applications
</t>
    </r>
    <r>
      <rPr>
        <b/>
        <i/>
        <sz val="11"/>
        <color rgb="FFFF0000"/>
        <rFont val="Trebuchet MS"/>
        <family val="2"/>
      </rPr>
      <t>Note: Samples will only be selected when E11 is received.</t>
    </r>
  </si>
  <si>
    <t>IT Program Change Approval &amp; Testing</t>
  </si>
  <si>
    <t>Migration of changes</t>
  </si>
  <si>
    <t>B6a</t>
  </si>
  <si>
    <r>
      <rPr>
        <sz val="11"/>
        <color rgb="FF000000"/>
        <rFont val="Trebuchet MS"/>
        <family val="2"/>
      </rPr>
      <t xml:space="preserve">Screenshot of extraction step of the super users listing extracted for B12. 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be consistent with the user listing)</t>
    </r>
  </si>
  <si>
    <t>B12a</t>
  </si>
  <si>
    <r>
      <rPr>
        <sz val="11"/>
        <color rgb="FF000000"/>
        <rFont val="Trebuchet MS"/>
        <family val="2"/>
      </rPr>
      <t xml:space="preserve">System screenshots of extraction step of the user listing extracted for B6. 
</t>
    </r>
    <r>
      <rPr>
        <b/>
        <i/>
        <sz val="10"/>
        <color rgb="FFFF0000"/>
        <rFont val="Trebuchet MS"/>
        <family val="2"/>
      </rPr>
      <t>Please ensure the below are included in the screenshot:
1) Timestamp 
2) Total number of row counts (to match with the total number of users shown in the user listing)</t>
    </r>
  </si>
  <si>
    <t>Full active user listing of all in-scope applications.
Relevant data elements (RDE) within listing should include but not limited to the following:
- User ID
- User name
- User access roles
- User group</t>
  </si>
  <si>
    <r>
      <t xml:space="preserve">Job Processing
</t>
    </r>
    <r>
      <rPr>
        <b/>
        <i/>
        <sz val="11"/>
        <color rgb="FFFF0000"/>
        <rFont val="Trebuchet MS"/>
        <family val="2"/>
      </rPr>
      <t>(Note: This control is only applicable if there is system interface ITAC)</t>
    </r>
  </si>
  <si>
    <r>
      <t xml:space="preserve">Backup Management
</t>
    </r>
    <r>
      <rPr>
        <b/>
        <i/>
        <sz val="11"/>
        <color rgb="FFFF0000"/>
        <rFont val="Trebuchet MS"/>
        <family val="2"/>
      </rPr>
      <t>(Note: This control is only applicable if there is issues with backup / cybersecurity attack during the financial year)</t>
    </r>
  </si>
  <si>
    <t>Note: For DB / OS / AD layers, we are only inspecting on super users (users with privileged access)</t>
  </si>
  <si>
    <t>Nagaworld Limited</t>
  </si>
  <si>
    <t>LNW (From Bally)</t>
  </si>
  <si>
    <t>Bally</t>
  </si>
  <si>
    <t>Opera</t>
  </si>
  <si>
    <t>Simphony POS</t>
  </si>
  <si>
    <t>Material Control</t>
  </si>
  <si>
    <t>Sun Accounting</t>
  </si>
  <si>
    <t>HRMS</t>
  </si>
  <si>
    <t>K2</t>
  </si>
  <si>
    <t>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</si>
</sst>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0"/>
      <name val="Arial"/>
    </font>
    <font>
      <sz val="11"/>
      <color theme="1"/>
      <name val="Trebuchet MS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color indexed="8"/>
      <name val="Trebuchet MS"/>
      <family val="2"/>
    </font>
    <font>
      <b/>
      <u/>
      <sz val="11"/>
      <name val="Trebuchet MS"/>
      <family val="2"/>
    </font>
    <font>
      <sz val="11"/>
      <color rgb="FF000000"/>
      <name val="Trebuchet MS"/>
      <family val="2"/>
    </font>
    <font>
      <b/>
      <sz val="11"/>
      <color theme="0"/>
      <name val="Trebuchet MS"/>
      <family val="2"/>
    </font>
    <font>
      <b/>
      <i/>
      <sz val="10"/>
      <color rgb="FFFF0000"/>
      <name val="Trebuchet MS"/>
      <family val="2"/>
    </font>
    <font>
      <b/>
      <sz val="11"/>
      <color indexed="8"/>
      <name val="Trebuchet MS"/>
      <family val="2"/>
    </font>
    <font>
      <b/>
      <sz val="11"/>
      <color rgb="FF000000"/>
      <name val="Trebuchet MS"/>
      <family val="2"/>
    </font>
    <font>
      <sz val="11"/>
      <name val="Trebuchet MS"/>
      <family val="2"/>
    </font>
    <font>
      <sz val="10"/>
      <name val="Arial"/>
      <family val="2"/>
    </font>
    <font>
      <b/>
      <i/>
      <sz val="11"/>
      <color rgb="FFFF0000"/>
      <name val="Trebuchet MS"/>
      <family val="2"/>
    </font>
    <font>
      <sz val="11"/>
      <color theme="0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62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7" applyFont="1" applyAlignment="1">
      <alignment vertical="center"/>
    </xf>
    <xf numFmtId="0" fontId="8" fillId="0" borderId="0" xfId="7" applyFont="1"/>
    <xf numFmtId="0" fontId="8" fillId="0" borderId="0" xfId="8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top" wrapText="1"/>
    </xf>
    <xf numFmtId="0" fontId="11" fillId="6" borderId="0" xfId="0" applyFont="1" applyFill="1" applyAlignment="1">
      <alignment horizontal="center" vertical="center"/>
    </xf>
    <xf numFmtId="0" fontId="13" fillId="5" borderId="0" xfId="7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5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11" fillId="0" borderId="0" xfId="0" applyNumberFormat="1" applyFont="1"/>
    <xf numFmtId="0" fontId="7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10" fontId="7" fillId="0" borderId="3" xfId="15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0" xfId="7" applyFont="1" applyAlignment="1">
      <alignment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3" borderId="1" xfId="0" applyFont="1" applyFill="1" applyBorder="1" applyAlignment="1">
      <alignment horizontal="center" vertical="top"/>
    </xf>
    <xf numFmtId="0" fontId="8" fillId="0" borderId="0" xfId="7" applyFont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9" xfId="0" applyFont="1" applyBorder="1" applyAlignment="1">
      <alignment vertical="center" wrapText="1"/>
    </xf>
    <xf numFmtId="0" fontId="7" fillId="0" borderId="3" xfId="0" applyFont="1" applyBorder="1"/>
    <xf numFmtId="0" fontId="7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top" wrapText="1"/>
    </xf>
    <xf numFmtId="0" fontId="14" fillId="0" borderId="16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top" wrapText="1"/>
    </xf>
    <xf numFmtId="0" fontId="7" fillId="0" borderId="4" xfId="0" applyFont="1" applyBorder="1" applyAlignment="1">
      <alignment vertical="top"/>
    </xf>
    <xf numFmtId="10" fontId="7" fillId="0" borderId="0" xfId="15" applyNumberFormat="1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top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top" wrapText="1"/>
    </xf>
    <xf numFmtId="0" fontId="7" fillId="0" borderId="21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8" fillId="0" borderId="0" xfId="7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3" borderId="3" xfId="0" applyFont="1" applyFill="1" applyBorder="1" applyAlignment="1">
      <alignment horizontal="left" vertical="center" wrapText="1"/>
    </xf>
    <xf numFmtId="0" fontId="7" fillId="0" borderId="4" xfId="0" applyFont="1" applyBorder="1"/>
    <xf numFmtId="0" fontId="10" fillId="0" borderId="7" xfId="0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 wrapText="1"/>
    </xf>
    <xf numFmtId="0" fontId="17" fillId="0" borderId="4" xfId="0" quotePrefix="1" applyFont="1" applyBorder="1" applyAlignment="1">
      <alignment horizontal="left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vertical="top" wrapText="1"/>
    </xf>
    <xf numFmtId="0" fontId="11" fillId="2" borderId="0" xfId="0" applyFont="1" applyFill="1"/>
    <xf numFmtId="0" fontId="18" fillId="2" borderId="0" xfId="0" applyFont="1" applyFill="1"/>
    <xf numFmtId="0" fontId="6" fillId="3" borderId="2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vertical="top" wrapText="1"/>
    </xf>
    <xf numFmtId="0" fontId="1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top" wrapText="1"/>
    </xf>
    <xf numFmtId="0" fontId="7" fillId="0" borderId="0" xfId="0" applyFont="1" applyFill="1"/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9" xfId="0" quotePrefix="1" applyFont="1" applyBorder="1" applyAlignment="1">
      <alignment horizontal="left" vertical="center" wrapText="1"/>
    </xf>
    <xf numFmtId="0" fontId="1" fillId="0" borderId="10" xfId="0" quotePrefix="1" applyFont="1" applyBorder="1" applyAlignment="1">
      <alignment horizontal="left" vertical="center" wrapText="1"/>
    </xf>
    <xf numFmtId="0" fontId="1" fillId="0" borderId="11" xfId="0" quotePrefix="1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</cellXfs>
  <cellStyles count="16">
    <cellStyle name="Comma 2" xfId="1"/>
    <cellStyle name="Comma 3" xfId="2"/>
    <cellStyle name="Comma 4" xfId="3"/>
    <cellStyle name="Comma 5" xfId="4"/>
    <cellStyle name="Comma 6" xfId="5"/>
    <cellStyle name="Currency 2" xfId="6"/>
    <cellStyle name="Normal" xfId="0" builtinId="0"/>
    <cellStyle name="Normal 2" xfId="7"/>
    <cellStyle name="Normal 2 2" xfId="8"/>
    <cellStyle name="Normal 3" xfId="9"/>
    <cellStyle name="Normal 3 2" xfId="10"/>
    <cellStyle name="Normal 4" xfId="11"/>
    <cellStyle name="Percent" xfId="15" builtinId="5"/>
    <cellStyle name="Percent 2" xfId="12"/>
    <cellStyle name="Percent 3" xfId="13"/>
    <cellStyle name="Percent 4" xfId="14"/>
  </cellStyles>
  <dxfs count="50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01E1A3-3A27-4E3B-8927-7A063DD31D20}">
  <we:reference id="wa103982219" version="1.1.0.0" store="en-US" storeType="OMEX"/>
  <we:alternateReferences>
    <we:reference id="wa103982219" version="1.1.0.0" store="wa10398221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13"/>
  <sheetViews>
    <sheetView showGridLines="0" zoomScale="70" zoomScaleNormal="70" zoomScaleSheetLayoutView="85" workbookViewId="0">
      <selection activeCell="C9" sqref="C9"/>
    </sheetView>
  </sheetViews>
  <sheetFormatPr defaultColWidth="9.140625" defaultRowHeight="16.5" x14ac:dyDescent="0.3"/>
  <cols>
    <col min="1" max="1" width="33.5703125" style="25" bestFit="1" customWidth="1"/>
    <col min="2" max="2" width="8.28515625" style="25" bestFit="1" customWidth="1"/>
    <col min="3" max="3" width="66.28515625" style="25" bestFit="1" customWidth="1"/>
    <col min="4" max="4" width="18.28515625" style="25" bestFit="1" customWidth="1"/>
    <col min="5" max="5" width="16.42578125" style="25" bestFit="1" customWidth="1"/>
    <col min="6" max="6" width="13.42578125" style="25" bestFit="1" customWidth="1"/>
    <col min="7" max="7" width="16.140625" style="25" bestFit="1" customWidth="1"/>
    <col min="8" max="8" width="18.28515625" style="25" bestFit="1" customWidth="1"/>
    <col min="9" max="9" width="45.5703125" style="25" customWidth="1"/>
    <col min="10" max="16384" width="9.140625" style="25"/>
  </cols>
  <sheetData>
    <row r="1" spans="1:8" x14ac:dyDescent="0.3">
      <c r="A1" s="1" t="s">
        <v>0</v>
      </c>
      <c r="B1" s="2"/>
      <c r="C1" s="51" t="s">
        <v>116</v>
      </c>
      <c r="D1" s="2"/>
      <c r="E1" s="36" t="s">
        <v>1</v>
      </c>
      <c r="F1" s="36" t="s">
        <v>2</v>
      </c>
      <c r="G1" s="90" t="s">
        <v>118</v>
      </c>
      <c r="H1" s="2"/>
    </row>
    <row r="2" spans="1:8" x14ac:dyDescent="0.3">
      <c r="A2" s="1" t="s">
        <v>3</v>
      </c>
      <c r="B2" s="2"/>
      <c r="C2" s="5" t="str">
        <f>_xlfn.CONCAT("FOR THE FINANCIAL YEAR ENDED ",TEXT(C4,"dd-MMM-yyyy"))</f>
        <v>FOR THE FINANCIAL YEAR ENDED 31-Dec-2025</v>
      </c>
      <c r="D2" s="37" t="s">
        <v>4</v>
      </c>
      <c r="E2" s="7">
        <f>COUNTIF($D$8:$D$13,D2)</f>
        <v>0</v>
      </c>
      <c r="F2" s="38">
        <f>E2/SUM($E$2:$E$5)</f>
        <v>0</v>
      </c>
      <c r="G2" s="91" t="s">
        <v>119</v>
      </c>
      <c r="H2" s="3"/>
    </row>
    <row r="3" spans="1:8" ht="33" x14ac:dyDescent="0.3">
      <c r="A3" s="2"/>
      <c r="B3" s="2"/>
      <c r="C3" s="29">
        <v>45658</v>
      </c>
      <c r="D3" s="37" t="s">
        <v>5</v>
      </c>
      <c r="E3" s="7">
        <f>COUNTIF($D$8:$D$13,D3)</f>
        <v>0</v>
      </c>
      <c r="F3" s="38">
        <f>E3/SUM($E$2:$E$5)</f>
        <v>0</v>
      </c>
      <c r="G3" s="91" t="s">
        <v>120</v>
      </c>
      <c r="H3" s="15" t="s">
        <v>6</v>
      </c>
    </row>
    <row r="4" spans="1:8" x14ac:dyDescent="0.3">
      <c r="A4" s="2"/>
      <c r="B4" s="2"/>
      <c r="C4" s="29">
        <v>46022</v>
      </c>
      <c r="D4" s="37" t="s">
        <v>7</v>
      </c>
      <c r="E4" s="7">
        <f>COUNTIF($D$8:$D$13,D4)</f>
        <v>6</v>
      </c>
      <c r="F4" s="38">
        <f>E4/SUM($E$2:$E$5)</f>
        <v>1</v>
      </c>
      <c r="G4" s="92" t="s">
        <v>121</v>
      </c>
      <c r="H4" s="16" t="s">
        <v>7</v>
      </c>
    </row>
    <row r="5" spans="1:8" x14ac:dyDescent="0.3">
      <c r="D5" s="37" t="s">
        <v>6</v>
      </c>
      <c r="E5" s="7">
        <f>COUNTIF($D$8:$D$13,D5)</f>
        <v>0</v>
      </c>
      <c r="F5" s="38">
        <f>E5/SUM($E$2:$E$5)</f>
        <v>0</v>
      </c>
      <c r="G5" s="93"/>
      <c r="H5" s="17" t="s">
        <v>5</v>
      </c>
    </row>
    <row r="6" spans="1:8" x14ac:dyDescent="0.3">
      <c r="A6" s="6" t="s">
        <v>8</v>
      </c>
      <c r="C6" s="2"/>
      <c r="E6" s="88"/>
      <c r="F6" s="88"/>
      <c r="G6" s="89"/>
      <c r="H6" s="18" t="s">
        <v>4</v>
      </c>
    </row>
    <row r="7" spans="1:8" ht="33" x14ac:dyDescent="0.3">
      <c r="A7" s="20" t="s">
        <v>9</v>
      </c>
      <c r="B7" s="20" t="s">
        <v>10</v>
      </c>
      <c r="C7" s="19" t="s">
        <v>11</v>
      </c>
      <c r="D7" s="19" t="s">
        <v>12</v>
      </c>
      <c r="E7" s="19" t="s">
        <v>13</v>
      </c>
      <c r="F7" s="19" t="s">
        <v>14</v>
      </c>
      <c r="G7" s="2"/>
      <c r="H7" s="2"/>
    </row>
    <row r="8" spans="1:8" ht="198" x14ac:dyDescent="0.3">
      <c r="A8" s="103" t="s">
        <v>68</v>
      </c>
      <c r="B8" s="7" t="s">
        <v>15</v>
      </c>
      <c r="C8" s="22" t="s">
        <v>65</v>
      </c>
      <c r="D8" s="43" t="s">
        <v>7</v>
      </c>
      <c r="E8" s="8"/>
      <c r="F8" s="8"/>
      <c r="G8" s="2"/>
      <c r="H8" s="2"/>
    </row>
    <row r="9" spans="1:8" ht="27.95" customHeight="1" x14ac:dyDescent="0.3">
      <c r="A9" s="104"/>
      <c r="B9" s="7" t="s">
        <v>16</v>
      </c>
      <c r="C9" s="39" t="s">
        <v>66</v>
      </c>
      <c r="D9" s="43" t="s">
        <v>7</v>
      </c>
      <c r="E9" s="40"/>
      <c r="F9" s="40"/>
      <c r="G9" s="2"/>
      <c r="H9" s="2"/>
    </row>
    <row r="10" spans="1:8" ht="27.95" customHeight="1" x14ac:dyDescent="0.3">
      <c r="A10" s="104"/>
      <c r="B10" s="7" t="s">
        <v>17</v>
      </c>
      <c r="C10" s="21" t="s">
        <v>67</v>
      </c>
      <c r="D10" s="43" t="s">
        <v>7</v>
      </c>
      <c r="E10" s="9"/>
      <c r="F10" s="9"/>
      <c r="G10" s="2"/>
      <c r="H10" s="2"/>
    </row>
    <row r="11" spans="1:8" ht="27.95" customHeight="1" x14ac:dyDescent="0.3">
      <c r="A11" s="104"/>
      <c r="B11" s="12" t="s">
        <v>18</v>
      </c>
      <c r="C11" s="24" t="s">
        <v>21</v>
      </c>
      <c r="D11" s="43" t="s">
        <v>7</v>
      </c>
      <c r="E11" s="11"/>
      <c r="F11" s="11"/>
      <c r="G11" s="2"/>
      <c r="H11" s="2"/>
    </row>
    <row r="12" spans="1:8" ht="27.95" customHeight="1" x14ac:dyDescent="0.3">
      <c r="A12" s="104"/>
      <c r="B12" s="12" t="s">
        <v>19</v>
      </c>
      <c r="C12" s="30" t="str">
        <f>_xlfn.CONCAT("HR Listing for all resigned employess as of ",TEXT(C4,"dd-MMM-yyyy"))</f>
        <v>HR Listing for all resigned employess as of 31-Dec-2025</v>
      </c>
      <c r="D12" s="43" t="s">
        <v>7</v>
      </c>
      <c r="E12" s="11"/>
      <c r="F12" s="11"/>
      <c r="G12" s="2"/>
      <c r="H12" s="2"/>
    </row>
    <row r="13" spans="1:8" ht="27.95" customHeight="1" x14ac:dyDescent="0.3">
      <c r="A13" s="105"/>
      <c r="B13" s="12" t="s">
        <v>20</v>
      </c>
      <c r="C13" s="30" t="str">
        <f>_xlfn.CONCAT("HR Listing for all active employees as of ",TEXT(C4,"dd-MMM-yyyy"))</f>
        <v>HR Listing for all active employees as of 31-Dec-2025</v>
      </c>
      <c r="D13" s="43" t="s">
        <v>7</v>
      </c>
      <c r="E13" s="11"/>
      <c r="F13" s="11"/>
      <c r="G13" s="2"/>
      <c r="H13" s="2"/>
    </row>
  </sheetData>
  <mergeCells count="1">
    <mergeCell ref="A8:A13"/>
  </mergeCells>
  <phoneticPr fontId="2" type="noConversion"/>
  <dataValidations count="1">
    <dataValidation type="list" allowBlank="1" showInputMessage="1" showErrorMessage="1" sqref="D2:D5 D8:D13">
      <formula1>$H$3:$H$6</formula1>
    </dataValidation>
  </dataValidations>
  <pageMargins left="0.75" right="0.75" top="1" bottom="1" header="0.5" footer="0.5"/>
  <pageSetup paperSize="9" scale="48" fitToHeight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89DE711-4A7B-416F-AC97-FDB4E43D5D96}">
            <xm:f>NOT(ISERROR(SEARCH($H$6,D2)))</xm:f>
            <xm:f>$H$6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2" operator="containsText" id="{F22793BF-8D87-4A6F-92B6-15F1D4AA160A}">
            <xm:f>NOT(ISERROR(SEARCH($H$5,D2)))</xm:f>
            <xm:f>$H$5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" operator="containsText" id="{7C416888-45FE-4BCC-A7F1-F968407E9ADA}">
            <xm:f>NOT(ISERROR(SEARCH($H$4,D2)))</xm:f>
            <xm:f>$H$4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" operator="containsText" id="{D029B74D-4C81-423D-830C-F9041F08074B}">
            <xm:f>NOT(ISERROR(SEARCH($H$3,D2)))</xm:f>
            <xm:f>$H$3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D2:D5 D8:D13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72"/>
  <sheetViews>
    <sheetView showGridLines="0" topLeftCell="A7" zoomScale="70" zoomScaleNormal="70" zoomScaleSheetLayoutView="85" workbookViewId="0">
      <selection activeCell="H11" sqref="H11"/>
    </sheetView>
  </sheetViews>
  <sheetFormatPr defaultColWidth="9.140625" defaultRowHeight="16.5" x14ac:dyDescent="0.3"/>
  <cols>
    <col min="1" max="1" width="36.5703125" style="53" bestFit="1" customWidth="1"/>
    <col min="2" max="2" width="10.5703125" style="35" customWidth="1"/>
    <col min="3" max="3" width="92.5703125" style="57" customWidth="1"/>
    <col min="4" max="4" width="30.5703125" style="35" customWidth="1"/>
    <col min="5" max="12" width="18.5703125" style="2" customWidth="1"/>
    <col min="13" max="13" width="27.42578125" style="2" customWidth="1"/>
    <col min="14" max="14" width="29.140625" style="2" customWidth="1"/>
    <col min="15" max="15" width="14" style="2" hidden="1" customWidth="1"/>
    <col min="16" max="16" width="13.42578125" style="2" hidden="1" customWidth="1"/>
    <col min="17" max="17" width="45.5703125" style="2" customWidth="1"/>
    <col min="18" max="16384" width="9.140625" style="2"/>
  </cols>
  <sheetData>
    <row r="1" spans="1:17" x14ac:dyDescent="0.3">
      <c r="A1" s="52" t="s">
        <v>0</v>
      </c>
      <c r="C1" s="3" t="str">
        <f>'A. Organizational Information'!C1</f>
        <v>Nagaworld Limited</v>
      </c>
      <c r="D1" s="55"/>
      <c r="E1" s="3"/>
      <c r="F1" s="3"/>
      <c r="G1" s="3"/>
      <c r="H1" s="3"/>
      <c r="I1" s="3"/>
      <c r="J1" s="3"/>
      <c r="K1" s="3"/>
      <c r="L1" s="3"/>
      <c r="N1" s="36" t="s">
        <v>1</v>
      </c>
      <c r="O1" s="36" t="s">
        <v>2</v>
      </c>
    </row>
    <row r="2" spans="1:17" x14ac:dyDescent="0.3">
      <c r="A2" s="52" t="s">
        <v>3</v>
      </c>
      <c r="C2" s="3" t="str">
        <f>'A. Organizational Information'!C2</f>
        <v>FOR THE FINANCIAL YEAR ENDED 31-Dec-2025</v>
      </c>
      <c r="D2" s="55"/>
      <c r="E2" s="3"/>
      <c r="F2" s="3"/>
      <c r="G2" s="3"/>
      <c r="H2" s="3"/>
      <c r="I2" s="3"/>
      <c r="J2" s="3"/>
      <c r="K2" s="3"/>
      <c r="L2" s="3"/>
      <c r="M2" s="33" t="s">
        <v>4</v>
      </c>
      <c r="N2" s="7">
        <f>COUNTIF($E$9:$H$72,M2)</f>
        <v>0</v>
      </c>
      <c r="O2" s="38">
        <f>N2/SUM($N$2:$N$5)</f>
        <v>0</v>
      </c>
      <c r="Q2" s="15" t="s">
        <v>6</v>
      </c>
    </row>
    <row r="3" spans="1:17" x14ac:dyDescent="0.3">
      <c r="A3" s="52"/>
      <c r="C3" s="5"/>
      <c r="D3" s="56"/>
      <c r="E3" s="5"/>
      <c r="F3" s="5"/>
      <c r="G3" s="5"/>
      <c r="H3" s="5"/>
      <c r="I3" s="5"/>
      <c r="J3" s="5"/>
      <c r="K3" s="5"/>
      <c r="L3" s="5"/>
      <c r="M3" s="33" t="s">
        <v>5</v>
      </c>
      <c r="N3" s="7">
        <f>COUNTIF($E$9:$H$72,M3)</f>
        <v>0</v>
      </c>
      <c r="O3" s="38">
        <f>N3/SUM($N$2:$N$5)</f>
        <v>0</v>
      </c>
      <c r="Q3" s="16" t="s">
        <v>7</v>
      </c>
    </row>
    <row r="4" spans="1:17" x14ac:dyDescent="0.3">
      <c r="A4" s="52"/>
      <c r="C4" s="5"/>
      <c r="D4" s="56"/>
      <c r="E4" s="5"/>
      <c r="F4" s="5"/>
      <c r="G4" s="5"/>
      <c r="H4" s="5"/>
      <c r="I4" s="5"/>
      <c r="J4" s="5"/>
      <c r="K4" s="5"/>
      <c r="L4" s="5"/>
      <c r="M4" s="33" t="s">
        <v>7</v>
      </c>
      <c r="N4" s="7">
        <f>COUNTIF($E$9:$L$72,M4)</f>
        <v>400</v>
      </c>
      <c r="O4" s="38">
        <f>N4/SUM($N$2:$N$5)</f>
        <v>1</v>
      </c>
      <c r="Q4" s="17" t="s">
        <v>5</v>
      </c>
    </row>
    <row r="5" spans="1:17" x14ac:dyDescent="0.3">
      <c r="M5" s="33" t="s">
        <v>6</v>
      </c>
      <c r="N5" s="7">
        <f>COUNTIF($E$9:$H$72,M5)</f>
        <v>0</v>
      </c>
      <c r="O5" s="38">
        <f>N5/SUM($N$2:$N$5)</f>
        <v>0</v>
      </c>
      <c r="Q5" s="18" t="s">
        <v>4</v>
      </c>
    </row>
    <row r="6" spans="1:17" x14ac:dyDescent="0.3">
      <c r="M6" s="35"/>
      <c r="N6" s="35"/>
      <c r="O6" s="67"/>
      <c r="Q6" s="18"/>
    </row>
    <row r="7" spans="1:17" x14ac:dyDescent="0.3">
      <c r="A7" s="119" t="s">
        <v>8</v>
      </c>
      <c r="B7" s="120"/>
      <c r="C7" s="120"/>
      <c r="D7" s="121"/>
      <c r="E7" s="149" t="s">
        <v>12</v>
      </c>
      <c r="F7" s="149"/>
      <c r="G7" s="149"/>
      <c r="H7" s="149"/>
      <c r="I7" s="149"/>
      <c r="J7" s="149"/>
      <c r="K7" s="149"/>
      <c r="L7" s="149"/>
      <c r="M7" s="136" t="s">
        <v>13</v>
      </c>
      <c r="N7" s="136" t="s">
        <v>14</v>
      </c>
    </row>
    <row r="8" spans="1:17" x14ac:dyDescent="0.3">
      <c r="A8" s="54" t="s">
        <v>9</v>
      </c>
      <c r="B8" s="26" t="s">
        <v>10</v>
      </c>
      <c r="C8" s="27" t="s">
        <v>11</v>
      </c>
      <c r="D8" s="27" t="s">
        <v>70</v>
      </c>
      <c r="E8" s="19" t="str">
        <f>'A. Organizational Information'!G1</f>
        <v>Bally</v>
      </c>
      <c r="F8" s="19" t="str">
        <f>'A. Organizational Information'!G2</f>
        <v>Opera</v>
      </c>
      <c r="G8" s="19" t="str">
        <f>'A. Organizational Information'!G3</f>
        <v>Simphony POS</v>
      </c>
      <c r="H8" s="19" t="str">
        <f>'A. Organizational Information'!G4</f>
        <v>Material Control</v>
      </c>
      <c r="I8" s="19" t="s">
        <v>122</v>
      </c>
      <c r="J8" s="19" t="s">
        <v>123</v>
      </c>
      <c r="K8" s="19" t="s">
        <v>124</v>
      </c>
      <c r="L8" s="19" t="s">
        <v>125</v>
      </c>
      <c r="M8" s="137"/>
      <c r="N8" s="137"/>
    </row>
    <row r="9" spans="1:17" ht="41.45" customHeight="1" x14ac:dyDescent="0.3">
      <c r="A9" s="23" t="s">
        <v>69</v>
      </c>
      <c r="B9" s="138" t="s">
        <v>22</v>
      </c>
      <c r="C9" s="58" t="str">
        <f>"System generated list of users with creation / deletion or deactivation / modification date for all in-scope systems from "&amp;TEXT('A. Organizational Information'!C3,"dd-MMM-yyyy")&amp;" to "&amp;TEXT('A. Organizational Information'!C4,"dd-MMM-yyyy")&amp;""</f>
        <v>System generated list of users with creation / deletion or deactivation / modification date for all in-scope systems from 01-Jan-2025 to 31-Dec-2025</v>
      </c>
      <c r="D9" s="62" t="s">
        <v>73</v>
      </c>
      <c r="E9" s="95" t="s">
        <v>7</v>
      </c>
      <c r="F9" s="95" t="s">
        <v>7</v>
      </c>
      <c r="G9" s="95" t="s">
        <v>7</v>
      </c>
      <c r="H9" s="95" t="s">
        <v>7</v>
      </c>
      <c r="I9" s="95" t="s">
        <v>7</v>
      </c>
      <c r="J9" s="95" t="s">
        <v>7</v>
      </c>
      <c r="K9" s="95" t="s">
        <v>7</v>
      </c>
      <c r="L9" s="95" t="s">
        <v>7</v>
      </c>
      <c r="M9" s="65"/>
      <c r="N9" s="65"/>
    </row>
    <row r="10" spans="1:17" ht="69.599999999999994" customHeight="1" x14ac:dyDescent="0.3">
      <c r="A10" s="150" t="s">
        <v>115</v>
      </c>
      <c r="B10" s="139"/>
      <c r="C10" s="147" t="s">
        <v>79</v>
      </c>
      <c r="D10" s="62" t="s">
        <v>72</v>
      </c>
      <c r="E10" s="42" t="s">
        <v>7</v>
      </c>
      <c r="F10" s="42" t="s">
        <v>7</v>
      </c>
      <c r="G10" s="42" t="s">
        <v>7</v>
      </c>
      <c r="H10" s="42" t="s">
        <v>7</v>
      </c>
      <c r="I10" s="95" t="s">
        <v>7</v>
      </c>
      <c r="J10" s="95" t="s">
        <v>7</v>
      </c>
      <c r="K10" s="95" t="s">
        <v>7</v>
      </c>
      <c r="L10" s="95" t="s">
        <v>7</v>
      </c>
      <c r="M10" s="14"/>
      <c r="N10" s="14"/>
    </row>
    <row r="11" spans="1:17" ht="141" customHeight="1" x14ac:dyDescent="0.3">
      <c r="A11" s="150"/>
      <c r="B11" s="139"/>
      <c r="C11" s="147"/>
      <c r="D11" s="62" t="s">
        <v>71</v>
      </c>
      <c r="E11" s="42" t="s">
        <v>7</v>
      </c>
      <c r="F11" s="42" t="s">
        <v>7</v>
      </c>
      <c r="G11" s="42" t="s">
        <v>7</v>
      </c>
      <c r="H11" s="42" t="s">
        <v>7</v>
      </c>
      <c r="I11" s="95" t="s">
        <v>7</v>
      </c>
      <c r="J11" s="95" t="s">
        <v>7</v>
      </c>
      <c r="K11" s="95" t="s">
        <v>7</v>
      </c>
      <c r="L11" s="95" t="s">
        <v>7</v>
      </c>
      <c r="M11" s="14"/>
      <c r="N11" s="14"/>
    </row>
    <row r="12" spans="1:17" ht="33" x14ac:dyDescent="0.3">
      <c r="A12" s="60"/>
      <c r="B12" s="140"/>
      <c r="C12" s="148"/>
      <c r="D12" s="87" t="s">
        <v>78</v>
      </c>
      <c r="E12" s="106" t="s">
        <v>7</v>
      </c>
      <c r="F12" s="107"/>
      <c r="G12" s="107"/>
      <c r="H12" s="107"/>
      <c r="I12" s="107"/>
      <c r="J12" s="107"/>
      <c r="K12" s="107"/>
      <c r="L12" s="108"/>
      <c r="M12" s="14"/>
      <c r="N12" s="14"/>
    </row>
    <row r="13" spans="1:17" ht="56.1" customHeight="1" x14ac:dyDescent="0.3">
      <c r="A13" s="60"/>
      <c r="B13" s="141" t="s">
        <v>23</v>
      </c>
      <c r="C13" s="133" t="s">
        <v>75</v>
      </c>
      <c r="D13" s="62" t="s">
        <v>73</v>
      </c>
      <c r="E13" s="42" t="s">
        <v>7</v>
      </c>
      <c r="F13" s="42" t="s">
        <v>7</v>
      </c>
      <c r="G13" s="42" t="s">
        <v>7</v>
      </c>
      <c r="H13" s="42" t="s">
        <v>7</v>
      </c>
      <c r="I13" s="42" t="s">
        <v>7</v>
      </c>
      <c r="J13" s="42" t="s">
        <v>7</v>
      </c>
      <c r="K13" s="42" t="s">
        <v>7</v>
      </c>
      <c r="L13" s="42" t="s">
        <v>7</v>
      </c>
      <c r="M13" s="14"/>
      <c r="N13" s="14"/>
    </row>
    <row r="14" spans="1:17" ht="56.1" customHeight="1" x14ac:dyDescent="0.3">
      <c r="A14" s="60"/>
      <c r="B14" s="142"/>
      <c r="C14" s="134"/>
      <c r="D14" s="62" t="s">
        <v>72</v>
      </c>
      <c r="E14" s="42" t="s">
        <v>7</v>
      </c>
      <c r="F14" s="42" t="s">
        <v>7</v>
      </c>
      <c r="G14" s="42" t="s">
        <v>7</v>
      </c>
      <c r="H14" s="42" t="s">
        <v>7</v>
      </c>
      <c r="I14" s="42" t="s">
        <v>7</v>
      </c>
      <c r="J14" s="42" t="s">
        <v>7</v>
      </c>
      <c r="K14" s="42" t="s">
        <v>7</v>
      </c>
      <c r="L14" s="42" t="s">
        <v>7</v>
      </c>
      <c r="M14" s="14"/>
      <c r="N14" s="14"/>
    </row>
    <row r="15" spans="1:17" ht="56.1" customHeight="1" x14ac:dyDescent="0.3">
      <c r="A15" s="60"/>
      <c r="B15" s="142"/>
      <c r="C15" s="134"/>
      <c r="D15" s="62" t="s">
        <v>71</v>
      </c>
      <c r="E15" s="42" t="s">
        <v>7</v>
      </c>
      <c r="F15" s="42" t="s">
        <v>7</v>
      </c>
      <c r="G15" s="42" t="s">
        <v>7</v>
      </c>
      <c r="H15" s="42" t="s">
        <v>7</v>
      </c>
      <c r="I15" s="42" t="s">
        <v>7</v>
      </c>
      <c r="J15" s="42" t="s">
        <v>7</v>
      </c>
      <c r="K15" s="42" t="s">
        <v>7</v>
      </c>
      <c r="L15" s="42" t="s">
        <v>7</v>
      </c>
      <c r="M15" s="14"/>
      <c r="N15" s="14"/>
    </row>
    <row r="16" spans="1:17" ht="56.1" customHeight="1" x14ac:dyDescent="0.3">
      <c r="A16" s="60"/>
      <c r="B16" s="143"/>
      <c r="C16" s="135"/>
      <c r="D16" s="87" t="s">
        <v>78</v>
      </c>
      <c r="E16" s="106" t="s">
        <v>7</v>
      </c>
      <c r="F16" s="107"/>
      <c r="G16" s="107"/>
      <c r="H16" s="107"/>
      <c r="I16" s="107"/>
      <c r="J16" s="107"/>
      <c r="K16" s="107"/>
      <c r="L16" s="108"/>
      <c r="M16" s="14"/>
      <c r="N16" s="14"/>
    </row>
    <row r="17" spans="1:14" ht="56.1" customHeight="1" x14ac:dyDescent="0.3">
      <c r="A17" s="60"/>
      <c r="B17" s="141" t="s">
        <v>24</v>
      </c>
      <c r="C17" s="144" t="s">
        <v>94</v>
      </c>
      <c r="D17" s="62" t="s">
        <v>73</v>
      </c>
      <c r="E17" s="42" t="s">
        <v>7</v>
      </c>
      <c r="F17" s="42" t="s">
        <v>7</v>
      </c>
      <c r="G17" s="42" t="s">
        <v>7</v>
      </c>
      <c r="H17" s="42" t="s">
        <v>7</v>
      </c>
      <c r="I17" s="42" t="s">
        <v>7</v>
      </c>
      <c r="J17" s="42" t="s">
        <v>7</v>
      </c>
      <c r="K17" s="42" t="s">
        <v>7</v>
      </c>
      <c r="L17" s="42" t="s">
        <v>7</v>
      </c>
      <c r="M17" s="14"/>
      <c r="N17" s="14"/>
    </row>
    <row r="18" spans="1:14" ht="56.1" customHeight="1" x14ac:dyDescent="0.3">
      <c r="A18" s="60"/>
      <c r="B18" s="142"/>
      <c r="C18" s="145"/>
      <c r="D18" s="62" t="s">
        <v>72</v>
      </c>
      <c r="E18" s="42" t="s">
        <v>7</v>
      </c>
      <c r="F18" s="42" t="s">
        <v>7</v>
      </c>
      <c r="G18" s="42" t="s">
        <v>7</v>
      </c>
      <c r="H18" s="42" t="s">
        <v>7</v>
      </c>
      <c r="I18" s="42" t="s">
        <v>7</v>
      </c>
      <c r="J18" s="42" t="s">
        <v>7</v>
      </c>
      <c r="K18" s="42" t="s">
        <v>7</v>
      </c>
      <c r="L18" s="42" t="s">
        <v>7</v>
      </c>
      <c r="M18" s="14"/>
      <c r="N18" s="14"/>
    </row>
    <row r="19" spans="1:14" ht="56.1" customHeight="1" x14ac:dyDescent="0.3">
      <c r="A19" s="60"/>
      <c r="B19" s="142"/>
      <c r="C19" s="145"/>
      <c r="D19" s="62" t="s">
        <v>71</v>
      </c>
      <c r="E19" s="42" t="s">
        <v>7</v>
      </c>
      <c r="F19" s="42" t="s">
        <v>7</v>
      </c>
      <c r="G19" s="42" t="s">
        <v>7</v>
      </c>
      <c r="H19" s="42" t="s">
        <v>7</v>
      </c>
      <c r="I19" s="42" t="s">
        <v>7</v>
      </c>
      <c r="J19" s="42" t="s">
        <v>7</v>
      </c>
      <c r="K19" s="42" t="s">
        <v>7</v>
      </c>
      <c r="L19" s="42" t="s">
        <v>7</v>
      </c>
      <c r="M19" s="14"/>
      <c r="N19" s="14"/>
    </row>
    <row r="20" spans="1:14" ht="56.1" customHeight="1" x14ac:dyDescent="0.3">
      <c r="A20" s="60"/>
      <c r="B20" s="143"/>
      <c r="C20" s="146"/>
      <c r="D20" s="87" t="s">
        <v>78</v>
      </c>
      <c r="E20" s="106" t="s">
        <v>7</v>
      </c>
      <c r="F20" s="107"/>
      <c r="G20" s="107"/>
      <c r="H20" s="107"/>
      <c r="I20" s="107"/>
      <c r="J20" s="107"/>
      <c r="K20" s="107"/>
      <c r="L20" s="108"/>
      <c r="M20" s="14"/>
      <c r="N20" s="14"/>
    </row>
    <row r="21" spans="1:14" ht="56.1" customHeight="1" x14ac:dyDescent="0.3">
      <c r="A21" s="60"/>
      <c r="B21" s="138" t="s">
        <v>25</v>
      </c>
      <c r="C21" s="144" t="s">
        <v>95</v>
      </c>
      <c r="D21" s="62" t="s">
        <v>73</v>
      </c>
      <c r="E21" s="42" t="s">
        <v>7</v>
      </c>
      <c r="F21" s="42" t="s">
        <v>7</v>
      </c>
      <c r="G21" s="42" t="s">
        <v>7</v>
      </c>
      <c r="H21" s="42" t="s">
        <v>7</v>
      </c>
      <c r="I21" s="42" t="s">
        <v>7</v>
      </c>
      <c r="J21" s="42" t="s">
        <v>7</v>
      </c>
      <c r="K21" s="42" t="s">
        <v>7</v>
      </c>
      <c r="L21" s="42" t="s">
        <v>7</v>
      </c>
      <c r="M21" s="14"/>
      <c r="N21" s="14"/>
    </row>
    <row r="22" spans="1:14" ht="56.1" customHeight="1" x14ac:dyDescent="0.3">
      <c r="A22" s="60"/>
      <c r="B22" s="139"/>
      <c r="C22" s="145"/>
      <c r="D22" s="62" t="s">
        <v>72</v>
      </c>
      <c r="E22" s="42" t="s">
        <v>7</v>
      </c>
      <c r="F22" s="42" t="s">
        <v>7</v>
      </c>
      <c r="G22" s="42" t="s">
        <v>7</v>
      </c>
      <c r="H22" s="42" t="s">
        <v>7</v>
      </c>
      <c r="I22" s="42" t="s">
        <v>7</v>
      </c>
      <c r="J22" s="42" t="s">
        <v>7</v>
      </c>
      <c r="K22" s="42" t="s">
        <v>7</v>
      </c>
      <c r="L22" s="42" t="s">
        <v>7</v>
      </c>
      <c r="M22" s="14"/>
      <c r="N22" s="14"/>
    </row>
    <row r="23" spans="1:14" ht="56.1" customHeight="1" x14ac:dyDescent="0.3">
      <c r="A23" s="60"/>
      <c r="B23" s="139"/>
      <c r="C23" s="145"/>
      <c r="D23" s="62" t="s">
        <v>71</v>
      </c>
      <c r="E23" s="42" t="s">
        <v>7</v>
      </c>
      <c r="F23" s="42" t="s">
        <v>7</v>
      </c>
      <c r="G23" s="42" t="s">
        <v>7</v>
      </c>
      <c r="H23" s="42" t="s">
        <v>7</v>
      </c>
      <c r="I23" s="42" t="s">
        <v>7</v>
      </c>
      <c r="J23" s="42" t="s">
        <v>7</v>
      </c>
      <c r="K23" s="42" t="s">
        <v>7</v>
      </c>
      <c r="L23" s="42" t="s">
        <v>7</v>
      </c>
      <c r="M23" s="14"/>
      <c r="N23" s="14"/>
    </row>
    <row r="24" spans="1:14" ht="56.1" customHeight="1" x14ac:dyDescent="0.3">
      <c r="A24" s="60"/>
      <c r="B24" s="140"/>
      <c r="C24" s="146"/>
      <c r="D24" s="87" t="s">
        <v>78</v>
      </c>
      <c r="E24" s="106" t="s">
        <v>7</v>
      </c>
      <c r="F24" s="107"/>
      <c r="G24" s="107"/>
      <c r="H24" s="107"/>
      <c r="I24" s="107"/>
      <c r="J24" s="107"/>
      <c r="K24" s="107"/>
      <c r="L24" s="108"/>
      <c r="M24" s="14"/>
      <c r="N24" s="14"/>
    </row>
    <row r="25" spans="1:14" ht="56.1" customHeight="1" x14ac:dyDescent="0.3">
      <c r="A25" s="60"/>
      <c r="B25" s="138" t="s">
        <v>26</v>
      </c>
      <c r="C25" s="144" t="s">
        <v>96</v>
      </c>
      <c r="D25" s="62" t="s">
        <v>73</v>
      </c>
      <c r="E25" s="42" t="s">
        <v>7</v>
      </c>
      <c r="F25" s="42" t="s">
        <v>7</v>
      </c>
      <c r="G25" s="42" t="s">
        <v>7</v>
      </c>
      <c r="H25" s="42" t="s">
        <v>7</v>
      </c>
      <c r="I25" s="42" t="s">
        <v>7</v>
      </c>
      <c r="J25" s="42" t="s">
        <v>7</v>
      </c>
      <c r="K25" s="42" t="s">
        <v>7</v>
      </c>
      <c r="L25" s="42" t="s">
        <v>7</v>
      </c>
      <c r="M25" s="14"/>
      <c r="N25" s="14"/>
    </row>
    <row r="26" spans="1:14" ht="56.1" customHeight="1" x14ac:dyDescent="0.3">
      <c r="A26" s="60"/>
      <c r="B26" s="139"/>
      <c r="C26" s="145"/>
      <c r="D26" s="62" t="s">
        <v>72</v>
      </c>
      <c r="E26" s="42" t="s">
        <v>7</v>
      </c>
      <c r="F26" s="42" t="s">
        <v>7</v>
      </c>
      <c r="G26" s="42" t="s">
        <v>7</v>
      </c>
      <c r="H26" s="42" t="s">
        <v>7</v>
      </c>
      <c r="I26" s="42" t="s">
        <v>7</v>
      </c>
      <c r="J26" s="42" t="s">
        <v>7</v>
      </c>
      <c r="K26" s="42" t="s">
        <v>7</v>
      </c>
      <c r="L26" s="42" t="s">
        <v>7</v>
      </c>
      <c r="M26" s="14"/>
      <c r="N26" s="14"/>
    </row>
    <row r="27" spans="1:14" ht="56.1" customHeight="1" x14ac:dyDescent="0.3">
      <c r="A27" s="60"/>
      <c r="B27" s="139"/>
      <c r="C27" s="145"/>
      <c r="D27" s="62" t="s">
        <v>71</v>
      </c>
      <c r="E27" s="42" t="s">
        <v>7</v>
      </c>
      <c r="F27" s="42" t="s">
        <v>7</v>
      </c>
      <c r="G27" s="42" t="s">
        <v>7</v>
      </c>
      <c r="H27" s="42" t="s">
        <v>7</v>
      </c>
      <c r="I27" s="42" t="s">
        <v>7</v>
      </c>
      <c r="J27" s="42" t="s">
        <v>7</v>
      </c>
      <c r="K27" s="42" t="s">
        <v>7</v>
      </c>
      <c r="L27" s="42" t="s">
        <v>7</v>
      </c>
      <c r="M27" s="14"/>
      <c r="N27" s="14"/>
    </row>
    <row r="28" spans="1:14" ht="56.1" customHeight="1" x14ac:dyDescent="0.3">
      <c r="A28" s="60"/>
      <c r="B28" s="140"/>
      <c r="C28" s="146"/>
      <c r="D28" s="87" t="s">
        <v>78</v>
      </c>
      <c r="E28" s="106" t="s">
        <v>7</v>
      </c>
      <c r="F28" s="107"/>
      <c r="G28" s="107"/>
      <c r="H28" s="107"/>
      <c r="I28" s="107"/>
      <c r="J28" s="107"/>
      <c r="K28" s="107"/>
      <c r="L28" s="108"/>
      <c r="M28" s="14"/>
      <c r="N28" s="14"/>
    </row>
    <row r="29" spans="1:14" ht="56.1" customHeight="1" x14ac:dyDescent="0.3">
      <c r="A29" s="60"/>
      <c r="B29" s="138" t="s">
        <v>27</v>
      </c>
      <c r="C29" s="58" t="str">
        <f>"HR Resignation Listing for all in-scope entities from "&amp;TEXT('A. Organizational Information'!C3,"dd-MMM-yyyy")&amp;" to "&amp;TEXT('A. Organizational Information'!C4,"dd-MMM-yyyy")&amp;""</f>
        <v>HR Resignation Listing for all in-scope entities from 01-Jan-2025 to 31-Dec-2025</v>
      </c>
      <c r="D29" s="62" t="s">
        <v>73</v>
      </c>
      <c r="E29" s="42" t="s">
        <v>7</v>
      </c>
      <c r="F29" s="42" t="s">
        <v>7</v>
      </c>
      <c r="G29" s="42" t="s">
        <v>7</v>
      </c>
      <c r="H29" s="42" t="s">
        <v>7</v>
      </c>
      <c r="I29" s="42" t="s">
        <v>7</v>
      </c>
      <c r="J29" s="42" t="s">
        <v>7</v>
      </c>
      <c r="K29" s="42" t="s">
        <v>7</v>
      </c>
      <c r="L29" s="42" t="s">
        <v>7</v>
      </c>
      <c r="M29" s="14"/>
      <c r="N29" s="14"/>
    </row>
    <row r="30" spans="1:14" ht="56.1" customHeight="1" x14ac:dyDescent="0.3">
      <c r="A30" s="60"/>
      <c r="B30" s="139"/>
      <c r="C30" s="123" t="s">
        <v>80</v>
      </c>
      <c r="D30" s="62" t="s">
        <v>72</v>
      </c>
      <c r="E30" s="42" t="s">
        <v>7</v>
      </c>
      <c r="F30" s="42" t="s">
        <v>7</v>
      </c>
      <c r="G30" s="42" t="s">
        <v>7</v>
      </c>
      <c r="H30" s="42" t="s">
        <v>7</v>
      </c>
      <c r="I30" s="42" t="s">
        <v>7</v>
      </c>
      <c r="J30" s="42" t="s">
        <v>7</v>
      </c>
      <c r="K30" s="42" t="s">
        <v>7</v>
      </c>
      <c r="L30" s="42" t="s">
        <v>7</v>
      </c>
      <c r="M30" s="14"/>
      <c r="N30" s="14"/>
    </row>
    <row r="31" spans="1:14" ht="56.1" customHeight="1" x14ac:dyDescent="0.3">
      <c r="A31" s="60"/>
      <c r="B31" s="139"/>
      <c r="C31" s="123"/>
      <c r="D31" s="62" t="s">
        <v>71</v>
      </c>
      <c r="E31" s="42" t="s">
        <v>7</v>
      </c>
      <c r="F31" s="42" t="s">
        <v>7</v>
      </c>
      <c r="G31" s="42" t="s">
        <v>7</v>
      </c>
      <c r="H31" s="42" t="s">
        <v>7</v>
      </c>
      <c r="I31" s="42" t="s">
        <v>7</v>
      </c>
      <c r="J31" s="42" t="s">
        <v>7</v>
      </c>
      <c r="K31" s="42" t="s">
        <v>7</v>
      </c>
      <c r="L31" s="42" t="s">
        <v>7</v>
      </c>
      <c r="M31" s="14"/>
      <c r="N31" s="14"/>
    </row>
    <row r="32" spans="1:14" ht="56.1" customHeight="1" x14ac:dyDescent="0.3">
      <c r="A32" s="60"/>
      <c r="B32" s="140"/>
      <c r="C32" s="132"/>
      <c r="D32" s="87" t="s">
        <v>78</v>
      </c>
      <c r="E32" s="106" t="s">
        <v>7</v>
      </c>
      <c r="F32" s="107"/>
      <c r="G32" s="107"/>
      <c r="H32" s="107"/>
      <c r="I32" s="107"/>
      <c r="J32" s="107"/>
      <c r="K32" s="107"/>
      <c r="L32" s="108"/>
      <c r="M32" s="14"/>
      <c r="N32" s="14"/>
    </row>
    <row r="33" spans="1:14" ht="56.1" customHeight="1" x14ac:dyDescent="0.3">
      <c r="A33" s="60"/>
      <c r="B33" s="138" t="s">
        <v>28</v>
      </c>
      <c r="C33" s="133" t="s">
        <v>74</v>
      </c>
      <c r="D33" s="62" t="s">
        <v>73</v>
      </c>
      <c r="E33" s="42" t="s">
        <v>7</v>
      </c>
      <c r="F33" s="42" t="s">
        <v>7</v>
      </c>
      <c r="G33" s="42" t="s">
        <v>7</v>
      </c>
      <c r="H33" s="42" t="s">
        <v>7</v>
      </c>
      <c r="I33" s="42" t="s">
        <v>7</v>
      </c>
      <c r="J33" s="42" t="s">
        <v>7</v>
      </c>
      <c r="K33" s="42" t="s">
        <v>7</v>
      </c>
      <c r="L33" s="42" t="s">
        <v>7</v>
      </c>
      <c r="M33" s="14"/>
      <c r="N33" s="14"/>
    </row>
    <row r="34" spans="1:14" ht="56.1" customHeight="1" x14ac:dyDescent="0.3">
      <c r="A34" s="60"/>
      <c r="B34" s="139"/>
      <c r="C34" s="134"/>
      <c r="D34" s="62" t="s">
        <v>72</v>
      </c>
      <c r="E34" s="42" t="s">
        <v>7</v>
      </c>
      <c r="F34" s="42" t="s">
        <v>7</v>
      </c>
      <c r="G34" s="42" t="s">
        <v>7</v>
      </c>
      <c r="H34" s="42" t="s">
        <v>7</v>
      </c>
      <c r="I34" s="42" t="s">
        <v>7</v>
      </c>
      <c r="J34" s="42" t="s">
        <v>7</v>
      </c>
      <c r="K34" s="42" t="s">
        <v>7</v>
      </c>
      <c r="L34" s="42" t="s">
        <v>7</v>
      </c>
      <c r="M34" s="14"/>
      <c r="N34" s="14"/>
    </row>
    <row r="35" spans="1:14" ht="56.1" customHeight="1" x14ac:dyDescent="0.3">
      <c r="A35" s="60"/>
      <c r="B35" s="139"/>
      <c r="C35" s="134"/>
      <c r="D35" s="62" t="s">
        <v>71</v>
      </c>
      <c r="E35" s="42" t="s">
        <v>7</v>
      </c>
      <c r="F35" s="42" t="s">
        <v>7</v>
      </c>
      <c r="G35" s="42" t="s">
        <v>7</v>
      </c>
      <c r="H35" s="42" t="s">
        <v>7</v>
      </c>
      <c r="I35" s="42" t="s">
        <v>7</v>
      </c>
      <c r="J35" s="42" t="s">
        <v>7</v>
      </c>
      <c r="K35" s="42" t="s">
        <v>7</v>
      </c>
      <c r="L35" s="42" t="s">
        <v>7</v>
      </c>
      <c r="M35" s="14"/>
      <c r="N35" s="14"/>
    </row>
    <row r="36" spans="1:14" ht="56.1" customHeight="1" x14ac:dyDescent="0.3">
      <c r="A36" s="60"/>
      <c r="B36" s="140"/>
      <c r="C36" s="135"/>
      <c r="D36" s="87" t="s">
        <v>78</v>
      </c>
      <c r="E36" s="106" t="s">
        <v>7</v>
      </c>
      <c r="F36" s="107"/>
      <c r="G36" s="107"/>
      <c r="H36" s="107"/>
      <c r="I36" s="107"/>
      <c r="J36" s="107"/>
      <c r="K36" s="107"/>
      <c r="L36" s="108"/>
      <c r="M36" s="14"/>
      <c r="N36" s="14"/>
    </row>
    <row r="37" spans="1:14" ht="56.1" customHeight="1" x14ac:dyDescent="0.3">
      <c r="A37" s="60"/>
      <c r="B37" s="138" t="s">
        <v>29</v>
      </c>
      <c r="C37" s="122" t="s">
        <v>112</v>
      </c>
      <c r="D37" s="62" t="s">
        <v>73</v>
      </c>
      <c r="E37" s="42" t="s">
        <v>7</v>
      </c>
      <c r="F37" s="42" t="s">
        <v>7</v>
      </c>
      <c r="G37" s="42" t="s">
        <v>7</v>
      </c>
      <c r="H37" s="42" t="s">
        <v>7</v>
      </c>
      <c r="I37" s="42" t="s">
        <v>7</v>
      </c>
      <c r="J37" s="42" t="s">
        <v>7</v>
      </c>
      <c r="K37" s="42" t="s">
        <v>7</v>
      </c>
      <c r="L37" s="42" t="s">
        <v>7</v>
      </c>
      <c r="M37" s="14"/>
      <c r="N37" s="14"/>
    </row>
    <row r="38" spans="1:14" ht="56.1" customHeight="1" x14ac:dyDescent="0.3">
      <c r="A38" s="60"/>
      <c r="B38" s="139"/>
      <c r="C38" s="134"/>
      <c r="D38" s="62" t="s">
        <v>72</v>
      </c>
      <c r="E38" s="42" t="s">
        <v>7</v>
      </c>
      <c r="F38" s="42" t="s">
        <v>7</v>
      </c>
      <c r="G38" s="42" t="s">
        <v>7</v>
      </c>
      <c r="H38" s="42" t="s">
        <v>7</v>
      </c>
      <c r="I38" s="42" t="s">
        <v>7</v>
      </c>
      <c r="J38" s="42" t="s">
        <v>7</v>
      </c>
      <c r="K38" s="42" t="s">
        <v>7</v>
      </c>
      <c r="L38" s="42" t="s">
        <v>7</v>
      </c>
      <c r="M38" s="14"/>
      <c r="N38" s="14"/>
    </row>
    <row r="39" spans="1:14" ht="56.1" customHeight="1" x14ac:dyDescent="0.3">
      <c r="A39" s="60"/>
      <c r="B39" s="139"/>
      <c r="C39" s="134"/>
      <c r="D39" s="62" t="s">
        <v>71</v>
      </c>
      <c r="E39" s="42" t="s">
        <v>7</v>
      </c>
      <c r="F39" s="42" t="s">
        <v>7</v>
      </c>
      <c r="G39" s="42" t="s">
        <v>7</v>
      </c>
      <c r="H39" s="42" t="s">
        <v>7</v>
      </c>
      <c r="I39" s="42" t="s">
        <v>7</v>
      </c>
      <c r="J39" s="42" t="s">
        <v>7</v>
      </c>
      <c r="K39" s="42" t="s">
        <v>7</v>
      </c>
      <c r="L39" s="42" t="s">
        <v>7</v>
      </c>
      <c r="M39" s="14"/>
      <c r="N39" s="14"/>
    </row>
    <row r="40" spans="1:14" ht="56.1" customHeight="1" x14ac:dyDescent="0.3">
      <c r="A40" s="60"/>
      <c r="B40" s="140"/>
      <c r="C40" s="135"/>
      <c r="D40" s="87" t="s">
        <v>78</v>
      </c>
      <c r="E40" s="106" t="s">
        <v>7</v>
      </c>
      <c r="F40" s="107"/>
      <c r="G40" s="107"/>
      <c r="H40" s="107"/>
      <c r="I40" s="107"/>
      <c r="J40" s="107"/>
      <c r="K40" s="107"/>
      <c r="L40" s="108"/>
      <c r="M40" s="14"/>
      <c r="N40" s="14"/>
    </row>
    <row r="41" spans="1:14" ht="56.1" customHeight="1" x14ac:dyDescent="0.3">
      <c r="A41" s="60"/>
      <c r="B41" s="138" t="s">
        <v>108</v>
      </c>
      <c r="C41" s="133" t="s">
        <v>111</v>
      </c>
      <c r="D41" s="62" t="s">
        <v>73</v>
      </c>
      <c r="E41" s="42" t="s">
        <v>7</v>
      </c>
      <c r="F41" s="42" t="s">
        <v>7</v>
      </c>
      <c r="G41" s="42" t="s">
        <v>7</v>
      </c>
      <c r="H41" s="42" t="s">
        <v>7</v>
      </c>
      <c r="I41" s="42" t="s">
        <v>7</v>
      </c>
      <c r="J41" s="42" t="s">
        <v>7</v>
      </c>
      <c r="K41" s="42" t="s">
        <v>7</v>
      </c>
      <c r="L41" s="42" t="s">
        <v>7</v>
      </c>
      <c r="M41" s="14"/>
      <c r="N41" s="14"/>
    </row>
    <row r="42" spans="1:14" ht="56.1" customHeight="1" x14ac:dyDescent="0.3">
      <c r="A42" s="60"/>
      <c r="B42" s="139"/>
      <c r="C42" s="134"/>
      <c r="D42" s="62" t="s">
        <v>72</v>
      </c>
      <c r="E42" s="42" t="s">
        <v>7</v>
      </c>
      <c r="F42" s="42" t="s">
        <v>7</v>
      </c>
      <c r="G42" s="42" t="s">
        <v>7</v>
      </c>
      <c r="H42" s="42" t="s">
        <v>7</v>
      </c>
      <c r="I42" s="42" t="s">
        <v>7</v>
      </c>
      <c r="J42" s="42" t="s">
        <v>7</v>
      </c>
      <c r="K42" s="42" t="s">
        <v>7</v>
      </c>
      <c r="L42" s="42" t="s">
        <v>7</v>
      </c>
      <c r="M42" s="14"/>
      <c r="N42" s="14"/>
    </row>
    <row r="43" spans="1:14" ht="56.1" customHeight="1" x14ac:dyDescent="0.3">
      <c r="A43" s="60"/>
      <c r="B43" s="139"/>
      <c r="C43" s="134"/>
      <c r="D43" s="62" t="s">
        <v>71</v>
      </c>
      <c r="E43" s="42" t="s">
        <v>7</v>
      </c>
      <c r="F43" s="42" t="s">
        <v>7</v>
      </c>
      <c r="G43" s="42" t="s">
        <v>7</v>
      </c>
      <c r="H43" s="42" t="s">
        <v>7</v>
      </c>
      <c r="I43" s="42" t="s">
        <v>7</v>
      </c>
      <c r="J43" s="42" t="s">
        <v>7</v>
      </c>
      <c r="K43" s="42" t="s">
        <v>7</v>
      </c>
      <c r="L43" s="42" t="s">
        <v>7</v>
      </c>
      <c r="M43" s="14"/>
      <c r="N43" s="14"/>
    </row>
    <row r="44" spans="1:14" ht="56.1" customHeight="1" x14ac:dyDescent="0.3">
      <c r="A44" s="60"/>
      <c r="B44" s="140"/>
      <c r="C44" s="135"/>
      <c r="D44" s="87" t="s">
        <v>78</v>
      </c>
      <c r="E44" s="106" t="s">
        <v>7</v>
      </c>
      <c r="F44" s="107"/>
      <c r="G44" s="107"/>
      <c r="H44" s="107"/>
      <c r="I44" s="107"/>
      <c r="J44" s="107"/>
      <c r="K44" s="107"/>
      <c r="L44" s="108"/>
      <c r="M44" s="14"/>
      <c r="N44" s="14"/>
    </row>
    <row r="45" spans="1:14" ht="56.1" customHeight="1" x14ac:dyDescent="0.3">
      <c r="A45" s="23" t="s">
        <v>30</v>
      </c>
      <c r="B45" s="116" t="s">
        <v>31</v>
      </c>
      <c r="C45" s="113" t="s">
        <v>76</v>
      </c>
      <c r="D45" s="62" t="s">
        <v>73</v>
      </c>
      <c r="E45" s="42" t="s">
        <v>7</v>
      </c>
      <c r="F45" s="42" t="s">
        <v>7</v>
      </c>
      <c r="G45" s="42" t="s">
        <v>7</v>
      </c>
      <c r="H45" s="42" t="s">
        <v>7</v>
      </c>
      <c r="I45" s="42" t="s">
        <v>7</v>
      </c>
      <c r="J45" s="42" t="s">
        <v>7</v>
      </c>
      <c r="K45" s="42" t="s">
        <v>7</v>
      </c>
      <c r="L45" s="42" t="s">
        <v>7</v>
      </c>
      <c r="M45" s="14"/>
      <c r="N45" s="14"/>
    </row>
    <row r="46" spans="1:14" ht="56.1" customHeight="1" x14ac:dyDescent="0.3">
      <c r="A46" s="60"/>
      <c r="B46" s="117"/>
      <c r="C46" s="114"/>
      <c r="D46" s="62" t="s">
        <v>72</v>
      </c>
      <c r="E46" s="42" t="s">
        <v>7</v>
      </c>
      <c r="F46" s="42" t="s">
        <v>7</v>
      </c>
      <c r="G46" s="42" t="s">
        <v>7</v>
      </c>
      <c r="H46" s="42" t="s">
        <v>7</v>
      </c>
      <c r="I46" s="42" t="s">
        <v>7</v>
      </c>
      <c r="J46" s="42" t="s">
        <v>7</v>
      </c>
      <c r="K46" s="42" t="s">
        <v>7</v>
      </c>
      <c r="L46" s="42" t="s">
        <v>7</v>
      </c>
      <c r="M46" s="14"/>
      <c r="N46" s="14"/>
    </row>
    <row r="47" spans="1:14" ht="56.1" customHeight="1" x14ac:dyDescent="0.3">
      <c r="A47" s="60"/>
      <c r="B47" s="117"/>
      <c r="C47" s="114"/>
      <c r="D47" s="62" t="s">
        <v>71</v>
      </c>
      <c r="E47" s="42" t="s">
        <v>7</v>
      </c>
      <c r="F47" s="42" t="s">
        <v>7</v>
      </c>
      <c r="G47" s="42" t="s">
        <v>7</v>
      </c>
      <c r="H47" s="42" t="s">
        <v>7</v>
      </c>
      <c r="I47" s="42" t="s">
        <v>7</v>
      </c>
      <c r="J47" s="42" t="s">
        <v>7</v>
      </c>
      <c r="K47" s="42" t="s">
        <v>7</v>
      </c>
      <c r="L47" s="42" t="s">
        <v>7</v>
      </c>
      <c r="M47" s="14"/>
      <c r="N47" s="14"/>
    </row>
    <row r="48" spans="1:14" ht="56.1" customHeight="1" x14ac:dyDescent="0.3">
      <c r="A48" s="60"/>
      <c r="B48" s="118"/>
      <c r="C48" s="115"/>
      <c r="D48" s="87" t="s">
        <v>78</v>
      </c>
      <c r="E48" s="106" t="s">
        <v>7</v>
      </c>
      <c r="F48" s="107"/>
      <c r="G48" s="107"/>
      <c r="H48" s="107"/>
      <c r="I48" s="107"/>
      <c r="J48" s="107"/>
      <c r="K48" s="107"/>
      <c r="L48" s="108"/>
      <c r="M48" s="14"/>
      <c r="N48" s="14"/>
    </row>
    <row r="49" spans="1:14" ht="56.1" customHeight="1" x14ac:dyDescent="0.3">
      <c r="A49" s="63"/>
      <c r="B49" s="116" t="s">
        <v>32</v>
      </c>
      <c r="C49" s="122" t="s">
        <v>77</v>
      </c>
      <c r="D49" s="62" t="s">
        <v>73</v>
      </c>
      <c r="E49" s="42" t="s">
        <v>7</v>
      </c>
      <c r="F49" s="42" t="s">
        <v>7</v>
      </c>
      <c r="G49" s="42" t="s">
        <v>7</v>
      </c>
      <c r="H49" s="42" t="s">
        <v>7</v>
      </c>
      <c r="I49" s="42" t="s">
        <v>7</v>
      </c>
      <c r="J49" s="42" t="s">
        <v>7</v>
      </c>
      <c r="K49" s="42" t="s">
        <v>7</v>
      </c>
      <c r="L49" s="42" t="s">
        <v>7</v>
      </c>
      <c r="M49" s="14"/>
      <c r="N49" s="14"/>
    </row>
    <row r="50" spans="1:14" ht="56.1" customHeight="1" x14ac:dyDescent="0.3">
      <c r="A50" s="63"/>
      <c r="B50" s="117"/>
      <c r="C50" s="123"/>
      <c r="D50" s="62" t="s">
        <v>72</v>
      </c>
      <c r="E50" s="42" t="s">
        <v>7</v>
      </c>
      <c r="F50" s="42" t="s">
        <v>7</v>
      </c>
      <c r="G50" s="42" t="s">
        <v>7</v>
      </c>
      <c r="H50" s="42" t="s">
        <v>7</v>
      </c>
      <c r="I50" s="42" t="s">
        <v>7</v>
      </c>
      <c r="J50" s="42" t="s">
        <v>7</v>
      </c>
      <c r="K50" s="42" t="s">
        <v>7</v>
      </c>
      <c r="L50" s="42" t="s">
        <v>7</v>
      </c>
      <c r="M50" s="14"/>
      <c r="N50" s="14"/>
    </row>
    <row r="51" spans="1:14" ht="56.1" customHeight="1" x14ac:dyDescent="0.3">
      <c r="A51" s="63"/>
      <c r="B51" s="117"/>
      <c r="C51" s="123"/>
      <c r="D51" s="62" t="s">
        <v>71</v>
      </c>
      <c r="E51" s="42" t="s">
        <v>7</v>
      </c>
      <c r="F51" s="42" t="s">
        <v>7</v>
      </c>
      <c r="G51" s="42" t="s">
        <v>7</v>
      </c>
      <c r="H51" s="42" t="s">
        <v>7</v>
      </c>
      <c r="I51" s="42" t="s">
        <v>7</v>
      </c>
      <c r="J51" s="42" t="s">
        <v>7</v>
      </c>
      <c r="K51" s="42" t="s">
        <v>7</v>
      </c>
      <c r="L51" s="42" t="s">
        <v>7</v>
      </c>
      <c r="M51" s="14"/>
      <c r="N51" s="14"/>
    </row>
    <row r="52" spans="1:14" ht="56.1" customHeight="1" x14ac:dyDescent="0.3">
      <c r="A52" s="63"/>
      <c r="B52" s="118"/>
      <c r="C52" s="132"/>
      <c r="D52" s="87" t="s">
        <v>78</v>
      </c>
      <c r="E52" s="106" t="s">
        <v>7</v>
      </c>
      <c r="F52" s="107"/>
      <c r="G52" s="107"/>
      <c r="H52" s="107"/>
      <c r="I52" s="107"/>
      <c r="J52" s="107"/>
      <c r="K52" s="107"/>
      <c r="L52" s="108"/>
      <c r="M52" s="14"/>
      <c r="N52" s="14"/>
    </row>
    <row r="53" spans="1:14" ht="56.1" customHeight="1" x14ac:dyDescent="0.3">
      <c r="A53" s="69"/>
      <c r="B53" s="116" t="s">
        <v>33</v>
      </c>
      <c r="C53" s="113" t="s">
        <v>82</v>
      </c>
      <c r="D53" s="62" t="s">
        <v>73</v>
      </c>
      <c r="E53" s="42" t="s">
        <v>7</v>
      </c>
      <c r="F53" s="42" t="s">
        <v>7</v>
      </c>
      <c r="G53" s="42" t="s">
        <v>7</v>
      </c>
      <c r="H53" s="42" t="s">
        <v>7</v>
      </c>
      <c r="I53" s="42" t="s">
        <v>7</v>
      </c>
      <c r="J53" s="42" t="s">
        <v>7</v>
      </c>
      <c r="K53" s="42" t="s">
        <v>7</v>
      </c>
      <c r="L53" s="42" t="s">
        <v>7</v>
      </c>
      <c r="M53" s="14"/>
      <c r="N53" s="14"/>
    </row>
    <row r="54" spans="1:14" ht="56.1" customHeight="1" x14ac:dyDescent="0.3">
      <c r="A54" s="63"/>
      <c r="B54" s="117"/>
      <c r="C54" s="114"/>
      <c r="D54" s="62" t="s">
        <v>72</v>
      </c>
      <c r="E54" s="42" t="s">
        <v>7</v>
      </c>
      <c r="F54" s="42" t="s">
        <v>7</v>
      </c>
      <c r="G54" s="42" t="s">
        <v>7</v>
      </c>
      <c r="H54" s="42" t="s">
        <v>7</v>
      </c>
      <c r="I54" s="42" t="s">
        <v>7</v>
      </c>
      <c r="J54" s="42" t="s">
        <v>7</v>
      </c>
      <c r="K54" s="42" t="s">
        <v>7</v>
      </c>
      <c r="L54" s="42" t="s">
        <v>7</v>
      </c>
      <c r="M54" s="14"/>
      <c r="N54" s="14"/>
    </row>
    <row r="55" spans="1:14" ht="56.1" customHeight="1" x14ac:dyDescent="0.3">
      <c r="A55" s="63"/>
      <c r="B55" s="117"/>
      <c r="C55" s="114"/>
      <c r="D55" s="62" t="s">
        <v>71</v>
      </c>
      <c r="E55" s="42" t="s">
        <v>7</v>
      </c>
      <c r="F55" s="42" t="s">
        <v>7</v>
      </c>
      <c r="G55" s="42" t="s">
        <v>7</v>
      </c>
      <c r="H55" s="42" t="s">
        <v>7</v>
      </c>
      <c r="I55" s="42" t="s">
        <v>7</v>
      </c>
      <c r="J55" s="42" t="s">
        <v>7</v>
      </c>
      <c r="K55" s="42" t="s">
        <v>7</v>
      </c>
      <c r="L55" s="42" t="s">
        <v>7</v>
      </c>
      <c r="M55" s="14"/>
      <c r="N55" s="14"/>
    </row>
    <row r="56" spans="1:14" ht="56.1" customHeight="1" x14ac:dyDescent="0.3">
      <c r="A56" s="8"/>
      <c r="B56" s="118"/>
      <c r="C56" s="115"/>
      <c r="D56" s="87" t="s">
        <v>78</v>
      </c>
      <c r="E56" s="106" t="s">
        <v>7</v>
      </c>
      <c r="F56" s="107"/>
      <c r="G56" s="107"/>
      <c r="H56" s="107"/>
      <c r="I56" s="107"/>
      <c r="J56" s="107"/>
      <c r="K56" s="107"/>
      <c r="L56" s="108"/>
      <c r="M56" s="14"/>
      <c r="N56" s="14"/>
    </row>
    <row r="57" spans="1:14" ht="56.1" customHeight="1" x14ac:dyDescent="0.3">
      <c r="A57" s="70" t="s">
        <v>34</v>
      </c>
      <c r="B57" s="124" t="s">
        <v>35</v>
      </c>
      <c r="C57" s="122" t="str">
        <f>"User access matrix for all in-one scope systems from "&amp;TEXT('A. Organizational Information'!C3,"dd-MMM-yyyy")&amp;" to "&amp;TEXT('A. Organizational Information'!C4,"dd-MMM-yyyy")&amp;""</f>
        <v>User access matrix for all in-one scope systems from 01-Jan-2025 to 31-Dec-2025</v>
      </c>
      <c r="D57" s="62" t="s">
        <v>73</v>
      </c>
      <c r="E57" s="42" t="s">
        <v>7</v>
      </c>
      <c r="F57" s="42" t="s">
        <v>7</v>
      </c>
      <c r="G57" s="42" t="s">
        <v>7</v>
      </c>
      <c r="H57" s="42" t="s">
        <v>7</v>
      </c>
      <c r="I57" s="42" t="s">
        <v>7</v>
      </c>
      <c r="J57" s="42" t="s">
        <v>7</v>
      </c>
      <c r="K57" s="42" t="s">
        <v>7</v>
      </c>
      <c r="L57" s="42" t="s">
        <v>7</v>
      </c>
      <c r="M57" s="14"/>
      <c r="N57" s="14"/>
    </row>
    <row r="58" spans="1:14" ht="56.1" customHeight="1" x14ac:dyDescent="0.3">
      <c r="A58" s="70"/>
      <c r="B58" s="125"/>
      <c r="C58" s="123"/>
      <c r="D58" s="62" t="s">
        <v>72</v>
      </c>
      <c r="E58" s="42" t="s">
        <v>7</v>
      </c>
      <c r="F58" s="42" t="s">
        <v>7</v>
      </c>
      <c r="G58" s="42" t="s">
        <v>7</v>
      </c>
      <c r="H58" s="42" t="s">
        <v>7</v>
      </c>
      <c r="I58" s="42" t="s">
        <v>7</v>
      </c>
      <c r="J58" s="42" t="s">
        <v>7</v>
      </c>
      <c r="K58" s="42" t="s">
        <v>7</v>
      </c>
      <c r="L58" s="42" t="s">
        <v>7</v>
      </c>
      <c r="M58" s="14"/>
      <c r="N58" s="14"/>
    </row>
    <row r="59" spans="1:14" ht="56.1" customHeight="1" x14ac:dyDescent="0.3">
      <c r="A59" s="70"/>
      <c r="B59" s="125"/>
      <c r="C59" s="123"/>
      <c r="D59" s="62" t="s">
        <v>71</v>
      </c>
      <c r="E59" s="42" t="s">
        <v>7</v>
      </c>
      <c r="F59" s="42" t="s">
        <v>7</v>
      </c>
      <c r="G59" s="42" t="s">
        <v>7</v>
      </c>
      <c r="H59" s="42" t="s">
        <v>7</v>
      </c>
      <c r="I59" s="42" t="s">
        <v>7</v>
      </c>
      <c r="J59" s="42" t="s">
        <v>7</v>
      </c>
      <c r="K59" s="42" t="s">
        <v>7</v>
      </c>
      <c r="L59" s="42" t="s">
        <v>7</v>
      </c>
      <c r="M59" s="14"/>
      <c r="N59" s="14"/>
    </row>
    <row r="60" spans="1:14" ht="56.1" customHeight="1" x14ac:dyDescent="0.3">
      <c r="A60" s="70"/>
      <c r="B60" s="126"/>
      <c r="C60" s="123"/>
      <c r="D60" s="87" t="s">
        <v>78</v>
      </c>
      <c r="E60" s="106" t="s">
        <v>7</v>
      </c>
      <c r="F60" s="107"/>
      <c r="G60" s="107"/>
      <c r="H60" s="107"/>
      <c r="I60" s="107"/>
      <c r="J60" s="107"/>
      <c r="K60" s="107"/>
      <c r="L60" s="108"/>
      <c r="M60" s="14"/>
      <c r="N60" s="14"/>
    </row>
    <row r="61" spans="1:14" ht="56.1" customHeight="1" x14ac:dyDescent="0.3">
      <c r="A61" s="70"/>
      <c r="B61" s="129" t="s">
        <v>36</v>
      </c>
      <c r="C61" s="39" t="str">
        <f>"User access review documentation for the in-scope application from "&amp;TEXT('A. Organizational Information'!C3,"dd-MMM-yyyy")&amp;" to "&amp;TEXT('A. Organizational Information'!C4,"dd-MMM-yyyy")&amp;""</f>
        <v>User access review documentation for the in-scope application from 01-Jan-2025 to 31-Dec-2025</v>
      </c>
      <c r="D61" s="64" t="s">
        <v>73</v>
      </c>
      <c r="E61" s="100" t="s">
        <v>7</v>
      </c>
      <c r="F61" s="100" t="s">
        <v>7</v>
      </c>
      <c r="G61" s="100" t="s">
        <v>7</v>
      </c>
      <c r="H61" s="100" t="s">
        <v>7</v>
      </c>
      <c r="I61" s="100" t="s">
        <v>7</v>
      </c>
      <c r="J61" s="100" t="s">
        <v>7</v>
      </c>
      <c r="K61" s="100" t="s">
        <v>7</v>
      </c>
      <c r="L61" s="100" t="s">
        <v>7</v>
      </c>
      <c r="M61" s="101"/>
      <c r="N61" s="14"/>
    </row>
    <row r="62" spans="1:14" ht="56.1" customHeight="1" x14ac:dyDescent="0.3">
      <c r="A62" s="70"/>
      <c r="B62" s="130"/>
      <c r="C62" s="127" t="s">
        <v>81</v>
      </c>
      <c r="D62" s="96" t="s">
        <v>72</v>
      </c>
      <c r="E62" s="43" t="s">
        <v>7</v>
      </c>
      <c r="F62" s="43" t="s">
        <v>7</v>
      </c>
      <c r="G62" s="43" t="s">
        <v>7</v>
      </c>
      <c r="H62" s="100" t="s">
        <v>7</v>
      </c>
      <c r="I62" s="100" t="s">
        <v>7</v>
      </c>
      <c r="J62" s="100" t="s">
        <v>7</v>
      </c>
      <c r="K62" s="100" t="s">
        <v>7</v>
      </c>
      <c r="L62" s="100" t="s">
        <v>7</v>
      </c>
      <c r="M62" s="9"/>
      <c r="N62" s="99"/>
    </row>
    <row r="63" spans="1:14" ht="56.1" customHeight="1" x14ac:dyDescent="0.3">
      <c r="A63" s="70"/>
      <c r="B63" s="130"/>
      <c r="C63" s="127"/>
      <c r="D63" s="97" t="s">
        <v>71</v>
      </c>
      <c r="E63" s="43" t="s">
        <v>7</v>
      </c>
      <c r="F63" s="43" t="s">
        <v>7</v>
      </c>
      <c r="G63" s="43" t="s">
        <v>7</v>
      </c>
      <c r="H63" s="100" t="s">
        <v>7</v>
      </c>
      <c r="I63" s="100" t="s">
        <v>7</v>
      </c>
      <c r="J63" s="100" t="s">
        <v>7</v>
      </c>
      <c r="K63" s="100" t="s">
        <v>7</v>
      </c>
      <c r="L63" s="100" t="s">
        <v>7</v>
      </c>
      <c r="M63" s="9"/>
      <c r="N63" s="99"/>
    </row>
    <row r="64" spans="1:14" ht="56.1" customHeight="1" x14ac:dyDescent="0.3">
      <c r="A64" s="70"/>
      <c r="B64" s="131"/>
      <c r="C64" s="128"/>
      <c r="D64" s="98" t="s">
        <v>78</v>
      </c>
      <c r="E64" s="109" t="s">
        <v>7</v>
      </c>
      <c r="F64" s="109"/>
      <c r="G64" s="109"/>
      <c r="H64" s="109"/>
      <c r="I64" s="109"/>
      <c r="J64" s="109"/>
      <c r="K64" s="109"/>
      <c r="L64" s="109"/>
      <c r="M64" s="9"/>
      <c r="N64" s="99"/>
    </row>
    <row r="65" spans="1:14" ht="56.1" customHeight="1" x14ac:dyDescent="0.3">
      <c r="A65" s="23" t="s">
        <v>37</v>
      </c>
      <c r="B65" s="116" t="s">
        <v>38</v>
      </c>
      <c r="C65" s="123" t="str">
        <f>"System generated list of super users (Users with Privileged Functions) within the all in-scope systems from "&amp;TEXT('A. Organizational Information'!C3,"dd-MMM-yyyy")&amp;" to "&amp;TEXT('A. Organizational Information'!C4,"dd-MMM-yyyy")&amp;""</f>
        <v>System generated list of super users (Users with Privileged Functions) within the all in-scope systems from 01-Jan-2025 to 31-Dec-2025</v>
      </c>
      <c r="D65" s="97" t="s">
        <v>73</v>
      </c>
      <c r="E65" s="43" t="s">
        <v>7</v>
      </c>
      <c r="F65" s="43" t="s">
        <v>7</v>
      </c>
      <c r="G65" s="43" t="s">
        <v>7</v>
      </c>
      <c r="H65" s="43" t="s">
        <v>7</v>
      </c>
      <c r="I65" s="43" t="s">
        <v>7</v>
      </c>
      <c r="J65" s="43" t="s">
        <v>7</v>
      </c>
      <c r="K65" s="43" t="s">
        <v>7</v>
      </c>
      <c r="L65" s="43" t="s">
        <v>7</v>
      </c>
      <c r="M65" s="59"/>
      <c r="N65" s="99"/>
    </row>
    <row r="66" spans="1:14" ht="56.1" customHeight="1" x14ac:dyDescent="0.3">
      <c r="A66" s="63"/>
      <c r="B66" s="117"/>
      <c r="C66" s="123"/>
      <c r="D66" s="97" t="s">
        <v>72</v>
      </c>
      <c r="E66" s="43" t="s">
        <v>7</v>
      </c>
      <c r="F66" s="43" t="s">
        <v>7</v>
      </c>
      <c r="G66" s="43" t="s">
        <v>7</v>
      </c>
      <c r="H66" s="43" t="s">
        <v>7</v>
      </c>
      <c r="I66" s="43" t="s">
        <v>7</v>
      </c>
      <c r="J66" s="43" t="s">
        <v>7</v>
      </c>
      <c r="K66" s="43" t="s">
        <v>7</v>
      </c>
      <c r="L66" s="43" t="s">
        <v>7</v>
      </c>
      <c r="M66" s="59"/>
      <c r="N66" s="99"/>
    </row>
    <row r="67" spans="1:14" ht="56.1" customHeight="1" x14ac:dyDescent="0.3">
      <c r="A67" s="63"/>
      <c r="B67" s="117"/>
      <c r="C67" s="123"/>
      <c r="D67" s="97" t="s">
        <v>71</v>
      </c>
      <c r="E67" s="43" t="s">
        <v>7</v>
      </c>
      <c r="F67" s="43" t="s">
        <v>7</v>
      </c>
      <c r="G67" s="43" t="s">
        <v>7</v>
      </c>
      <c r="H67" s="43" t="s">
        <v>7</v>
      </c>
      <c r="I67" s="43" t="s">
        <v>7</v>
      </c>
      <c r="J67" s="43" t="s">
        <v>7</v>
      </c>
      <c r="K67" s="43" t="s">
        <v>7</v>
      </c>
      <c r="L67" s="43" t="s">
        <v>7</v>
      </c>
      <c r="M67" s="59"/>
      <c r="N67" s="99"/>
    </row>
    <row r="68" spans="1:14" ht="56.1" customHeight="1" x14ac:dyDescent="0.3">
      <c r="A68" s="63"/>
      <c r="B68" s="118"/>
      <c r="C68" s="132"/>
      <c r="D68" s="98" t="s">
        <v>78</v>
      </c>
      <c r="E68" s="110" t="s">
        <v>7</v>
      </c>
      <c r="F68" s="111"/>
      <c r="G68" s="111"/>
      <c r="H68" s="111"/>
      <c r="I68" s="111"/>
      <c r="J68" s="111"/>
      <c r="K68" s="111"/>
      <c r="L68" s="112"/>
      <c r="M68" s="59"/>
      <c r="N68" s="99"/>
    </row>
    <row r="69" spans="1:14" ht="56.1" customHeight="1" x14ac:dyDescent="0.3">
      <c r="A69" s="66"/>
      <c r="B69" s="116" t="s">
        <v>110</v>
      </c>
      <c r="C69" s="113" t="s">
        <v>109</v>
      </c>
      <c r="D69" s="97" t="s">
        <v>73</v>
      </c>
      <c r="E69" s="43" t="s">
        <v>7</v>
      </c>
      <c r="F69" s="43" t="s">
        <v>7</v>
      </c>
      <c r="G69" s="43" t="s">
        <v>7</v>
      </c>
      <c r="H69" s="43" t="s">
        <v>7</v>
      </c>
      <c r="I69" s="43" t="s">
        <v>7</v>
      </c>
      <c r="J69" s="43" t="s">
        <v>7</v>
      </c>
      <c r="K69" s="43" t="s">
        <v>7</v>
      </c>
      <c r="L69" s="43" t="s">
        <v>7</v>
      </c>
      <c r="M69" s="9"/>
      <c r="N69" s="99"/>
    </row>
    <row r="70" spans="1:14" ht="56.1" customHeight="1" x14ac:dyDescent="0.3">
      <c r="A70" s="60"/>
      <c r="B70" s="117"/>
      <c r="C70" s="114"/>
      <c r="D70" s="97" t="s">
        <v>72</v>
      </c>
      <c r="E70" s="43" t="s">
        <v>7</v>
      </c>
      <c r="F70" s="43" t="s">
        <v>7</v>
      </c>
      <c r="G70" s="43" t="s">
        <v>7</v>
      </c>
      <c r="H70" s="43" t="s">
        <v>7</v>
      </c>
      <c r="I70" s="43" t="s">
        <v>7</v>
      </c>
      <c r="J70" s="43" t="s">
        <v>7</v>
      </c>
      <c r="K70" s="43" t="s">
        <v>7</v>
      </c>
      <c r="L70" s="43" t="s">
        <v>7</v>
      </c>
      <c r="M70" s="9"/>
      <c r="N70" s="99"/>
    </row>
    <row r="71" spans="1:14" ht="56.1" customHeight="1" x14ac:dyDescent="0.3">
      <c r="A71" s="60"/>
      <c r="B71" s="117"/>
      <c r="C71" s="114"/>
      <c r="D71" s="97" t="s">
        <v>71</v>
      </c>
      <c r="E71" s="43" t="s">
        <v>7</v>
      </c>
      <c r="F71" s="43" t="s">
        <v>7</v>
      </c>
      <c r="G71" s="43" t="s">
        <v>7</v>
      </c>
      <c r="H71" s="43" t="s">
        <v>7</v>
      </c>
      <c r="I71" s="43" t="s">
        <v>7</v>
      </c>
      <c r="J71" s="43" t="s">
        <v>7</v>
      </c>
      <c r="K71" s="43" t="s">
        <v>7</v>
      </c>
      <c r="L71" s="43" t="s">
        <v>7</v>
      </c>
      <c r="M71" s="9"/>
      <c r="N71" s="99"/>
    </row>
    <row r="72" spans="1:14" ht="56.1" customHeight="1" x14ac:dyDescent="0.3">
      <c r="A72" s="61"/>
      <c r="B72" s="118"/>
      <c r="C72" s="115"/>
      <c r="D72" s="98" t="s">
        <v>78</v>
      </c>
      <c r="E72" s="110" t="s">
        <v>7</v>
      </c>
      <c r="F72" s="111"/>
      <c r="G72" s="111"/>
      <c r="H72" s="111"/>
      <c r="I72" s="111"/>
      <c r="J72" s="111"/>
      <c r="K72" s="111"/>
      <c r="L72" s="112"/>
      <c r="M72" s="9"/>
      <c r="N72" s="99"/>
    </row>
  </sheetData>
  <mergeCells count="53">
    <mergeCell ref="B37:B40"/>
    <mergeCell ref="C37:C40"/>
    <mergeCell ref="E7:L7"/>
    <mergeCell ref="E12:L12"/>
    <mergeCell ref="E16:L16"/>
    <mergeCell ref="A10:A11"/>
    <mergeCell ref="C33:C36"/>
    <mergeCell ref="N7:N8"/>
    <mergeCell ref="C53:C56"/>
    <mergeCell ref="B53:B56"/>
    <mergeCell ref="B21:B24"/>
    <mergeCell ref="B25:B28"/>
    <mergeCell ref="B29:B32"/>
    <mergeCell ref="B41:B44"/>
    <mergeCell ref="B17:B20"/>
    <mergeCell ref="C17:C20"/>
    <mergeCell ref="C21:C24"/>
    <mergeCell ref="C25:C28"/>
    <mergeCell ref="C13:C16"/>
    <mergeCell ref="B13:B16"/>
    <mergeCell ref="B33:B36"/>
    <mergeCell ref="M7:M8"/>
    <mergeCell ref="C10:C12"/>
    <mergeCell ref="C69:C72"/>
    <mergeCell ref="B69:B72"/>
    <mergeCell ref="A7:D7"/>
    <mergeCell ref="C57:C60"/>
    <mergeCell ref="B57:B60"/>
    <mergeCell ref="C62:C64"/>
    <mergeCell ref="B61:B64"/>
    <mergeCell ref="C65:C68"/>
    <mergeCell ref="B65:B68"/>
    <mergeCell ref="C45:C48"/>
    <mergeCell ref="B45:B48"/>
    <mergeCell ref="C49:C52"/>
    <mergeCell ref="B49:B52"/>
    <mergeCell ref="C30:C32"/>
    <mergeCell ref="C41:C44"/>
    <mergeCell ref="B9:B12"/>
    <mergeCell ref="E20:L20"/>
    <mergeCell ref="E24:L24"/>
    <mergeCell ref="E28:L28"/>
    <mergeCell ref="E32:L32"/>
    <mergeCell ref="E36:L36"/>
    <mergeCell ref="E60:L60"/>
    <mergeCell ref="E64:L64"/>
    <mergeCell ref="E68:L68"/>
    <mergeCell ref="E72:L72"/>
    <mergeCell ref="E40:L40"/>
    <mergeCell ref="E44:L44"/>
    <mergeCell ref="E48:L48"/>
    <mergeCell ref="E52:L52"/>
    <mergeCell ref="E56:L56"/>
  </mergeCells>
  <conditionalFormatting sqref="D1:D6 D8:D72 D76:D1048576">
    <cfRule type="containsText" dxfId="45" priority="1" operator="containsText" text="Operating system">
      <formula>NOT(ISERROR(SEARCH("Operating system",D1)))</formula>
    </cfRule>
  </conditionalFormatting>
  <conditionalFormatting sqref="D9:D72">
    <cfRule type="containsText" dxfId="44" priority="2" operator="containsText" text="Operating system">
      <formula>NOT(ISERROR(SEARCH("Operating system",D9)))</formula>
    </cfRule>
    <cfRule type="containsText" dxfId="43" priority="3" operator="containsText" text="Database">
      <formula>NOT(ISERROR(SEARCH("Database",D9)))</formula>
    </cfRule>
    <cfRule type="containsText" dxfId="42" priority="4" operator="containsText" text="Application (APP)">
      <formula>NOT(ISERROR(SEARCH("Application (APP)",D9)))</formula>
    </cfRule>
  </conditionalFormatting>
  <dataValidations count="1">
    <dataValidation type="list" allowBlank="1" showInputMessage="1" showErrorMessage="1" sqref="M2:M6 F65:L67 F61:L63 F57:L59 E9:E72 F53:L55 F49:L51 F45:L47 F41:L43 F37:L39 F33:L35 F29:L31 F25:L27 F21:L23 F17:L19 F13:L15 F9:L11 F69:L71">
      <formula1>$Q$2:$Q$5</formula1>
    </dataValidation>
  </dataValidations>
  <pageMargins left="0.75" right="0.75" top="1" bottom="1" header="0.5" footer="0.5"/>
  <pageSetup paperSize="9" scale="48" fitToHeight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43409463-8F35-4C18-B629-00CFE8AD1C69}">
            <xm:f>NOT(ISERROR(SEARCH($Q$5,E2)))</xm:f>
            <xm:f>$Q$5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5FBC6C93-9455-4DD6-9465-D98866F4BDB0}">
            <xm:f>NOT(ISERROR(SEARCH($Q$4,E2)))</xm:f>
            <xm:f>$Q$4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5" operator="containsText" id="{26489F87-6E2B-4409-B11A-D859767A778E}">
            <xm:f>NOT(ISERROR(SEARCH($Q$3,E2)))</xm:f>
            <xm:f>$Q$3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6" operator="containsText" id="{5AFF0806-21C7-42CB-82CA-623B85EFE06F}">
            <xm:f>NOT(ISERROR(SEARCH($Q$2,E2)))</xm:f>
            <xm:f>$Q$2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M2:M6 E12 E16 E20 E24 E28 E32 E36 E40 E44 E48 E52 E56 E60 E64 E68 E72 E9:L11 E13:L15 E17:L19 E21:L23 E25:L27 E29:L31 E33:L35 E37:L39 E41:L43 E45:L47 E49:L51 E53:L55 E57:L59 E61:L63 E65:L67 E69:L71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Q18"/>
  <sheetViews>
    <sheetView showGridLines="0" zoomScale="70" zoomScaleNormal="70" zoomScaleSheetLayoutView="85" workbookViewId="0">
      <selection activeCell="C10" sqref="C10"/>
    </sheetView>
  </sheetViews>
  <sheetFormatPr defaultColWidth="9.140625" defaultRowHeight="16.5" x14ac:dyDescent="0.3"/>
  <cols>
    <col min="1" max="1" width="36.5703125" style="2" bestFit="1" customWidth="1"/>
    <col min="2" max="2" width="10.5703125" style="2" customWidth="1"/>
    <col min="3" max="3" width="92.5703125" style="2" customWidth="1"/>
    <col min="4" max="4" width="30.5703125" style="2" customWidth="1"/>
    <col min="5" max="12" width="18.5703125" style="2" customWidth="1"/>
    <col min="13" max="13" width="27.42578125" style="2" customWidth="1"/>
    <col min="14" max="14" width="29.140625" style="2" customWidth="1"/>
    <col min="15" max="15" width="10.5703125" style="2" customWidth="1"/>
    <col min="16" max="16" width="14" style="2" hidden="1" customWidth="1"/>
    <col min="17" max="17" width="13.42578125" style="2" customWidth="1"/>
    <col min="18" max="18" width="45.5703125" style="2" customWidth="1"/>
    <col min="19" max="16384" width="9.140625" style="2"/>
  </cols>
  <sheetData>
    <row r="1" spans="1:17" x14ac:dyDescent="0.3">
      <c r="A1" s="1" t="s">
        <v>0</v>
      </c>
      <c r="C1" s="3" t="str">
        <f>'A. Organizational Information'!C1</f>
        <v>Nagaworld Limited</v>
      </c>
      <c r="D1" s="3"/>
      <c r="E1" s="3"/>
      <c r="F1" s="3"/>
      <c r="G1" s="3"/>
      <c r="H1" s="3"/>
      <c r="I1" s="3"/>
      <c r="J1" s="3"/>
      <c r="K1" s="3"/>
      <c r="L1" s="3"/>
      <c r="N1" s="36" t="s">
        <v>1</v>
      </c>
      <c r="O1" s="36" t="s">
        <v>2</v>
      </c>
    </row>
    <row r="2" spans="1:17" x14ac:dyDescent="0.3">
      <c r="A2" s="1" t="s">
        <v>3</v>
      </c>
      <c r="C2" s="3" t="str">
        <f>'A. Organizational Information'!C2</f>
        <v>FOR THE FINANCIAL YEAR ENDED 31-Dec-2025</v>
      </c>
      <c r="D2" s="3"/>
      <c r="E2" s="3"/>
      <c r="F2" s="3"/>
      <c r="G2" s="3"/>
      <c r="H2" s="3"/>
      <c r="I2" s="3"/>
      <c r="J2" s="3"/>
      <c r="K2" s="3"/>
      <c r="L2" s="3"/>
      <c r="M2" s="42" t="s">
        <v>4</v>
      </c>
      <c r="N2" s="7">
        <f>COUNTIF($E$9:$H$18,M2)</f>
        <v>0</v>
      </c>
      <c r="O2" s="38">
        <f>N2/SUM($N$2:$N$5)</f>
        <v>0</v>
      </c>
      <c r="Q2" s="15" t="s">
        <v>6</v>
      </c>
    </row>
    <row r="3" spans="1:17" x14ac:dyDescent="0.3">
      <c r="A3" s="1"/>
      <c r="C3" s="3"/>
      <c r="D3" s="3"/>
      <c r="E3" s="3"/>
      <c r="F3" s="3"/>
      <c r="G3" s="3"/>
      <c r="H3" s="3"/>
      <c r="I3" s="3"/>
      <c r="J3" s="3"/>
      <c r="K3" s="3"/>
      <c r="L3" s="3"/>
      <c r="M3" s="42" t="s">
        <v>5</v>
      </c>
      <c r="N3" s="7">
        <f>COUNTIF($E$9:$H$18,M3)</f>
        <v>0</v>
      </c>
      <c r="O3" s="38">
        <f>N3/SUM($N$2:$N$5)</f>
        <v>0</v>
      </c>
      <c r="Q3" s="16" t="s">
        <v>7</v>
      </c>
    </row>
    <row r="4" spans="1:17" x14ac:dyDescent="0.3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42" t="s">
        <v>7</v>
      </c>
      <c r="N4" s="7">
        <f>COUNTIF($E$9:$L$18,M4)</f>
        <v>80</v>
      </c>
      <c r="O4" s="38">
        <f>N4/SUM($N$2:$N$5)</f>
        <v>1</v>
      </c>
      <c r="Q4" s="17" t="s">
        <v>5</v>
      </c>
    </row>
    <row r="5" spans="1:17" x14ac:dyDescent="0.3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42" t="s">
        <v>6</v>
      </c>
      <c r="N5" s="7">
        <f>COUNTIF($E$9:$H$18,M5)</f>
        <v>0</v>
      </c>
      <c r="O5" s="38">
        <f>N5/SUM($N$2:$N$5)</f>
        <v>0</v>
      </c>
      <c r="Q5" s="18" t="s">
        <v>4</v>
      </c>
    </row>
    <row r="6" spans="1:17" x14ac:dyDescent="0.3">
      <c r="A6" s="1"/>
      <c r="C6" s="3"/>
      <c r="D6" s="3"/>
      <c r="E6" s="3"/>
      <c r="F6" s="3"/>
      <c r="G6" s="3"/>
      <c r="H6" s="3"/>
      <c r="I6" s="3"/>
      <c r="J6" s="3"/>
      <c r="K6" s="3"/>
      <c r="L6" s="3"/>
      <c r="N6" s="4"/>
    </row>
    <row r="7" spans="1:17" x14ac:dyDescent="0.3">
      <c r="A7" s="119" t="s">
        <v>8</v>
      </c>
      <c r="B7" s="120"/>
      <c r="C7" s="120"/>
      <c r="D7" s="121"/>
      <c r="E7" s="149" t="s">
        <v>12</v>
      </c>
      <c r="F7" s="149"/>
      <c r="G7" s="149"/>
      <c r="H7" s="149"/>
      <c r="I7" s="149"/>
      <c r="J7" s="149"/>
      <c r="K7" s="149"/>
      <c r="L7" s="149"/>
      <c r="M7" s="136" t="s">
        <v>13</v>
      </c>
      <c r="N7" s="136" t="s">
        <v>14</v>
      </c>
    </row>
    <row r="8" spans="1:17" x14ac:dyDescent="0.3">
      <c r="A8" s="54" t="s">
        <v>9</v>
      </c>
      <c r="B8" s="26" t="s">
        <v>10</v>
      </c>
      <c r="C8" s="27" t="s">
        <v>11</v>
      </c>
      <c r="D8" s="27" t="s">
        <v>70</v>
      </c>
      <c r="E8" s="19" t="str">
        <f>'A. Organizational Information'!G1</f>
        <v>Bally</v>
      </c>
      <c r="F8" s="19" t="str">
        <f>'A. Organizational Information'!G2</f>
        <v>Opera</v>
      </c>
      <c r="G8" s="19" t="str">
        <f>'A. Organizational Information'!G3</f>
        <v>Simphony POS</v>
      </c>
      <c r="H8" s="19" t="str">
        <f>'A. Organizational Information'!G4</f>
        <v>Material Control</v>
      </c>
      <c r="I8" s="19" t="s">
        <v>122</v>
      </c>
      <c r="J8" s="19" t="s">
        <v>123</v>
      </c>
      <c r="K8" s="19" t="s">
        <v>124</v>
      </c>
      <c r="L8" s="19" t="s">
        <v>125</v>
      </c>
      <c r="M8" s="137"/>
      <c r="N8" s="137"/>
    </row>
    <row r="9" spans="1:17" s="35" customFormat="1" ht="39.6" customHeight="1" x14ac:dyDescent="0.2">
      <c r="A9" s="71" t="s">
        <v>106</v>
      </c>
      <c r="B9" s="153" t="s">
        <v>39</v>
      </c>
      <c r="C9" s="73" t="str">
        <f>"System generated list of program change logs for all in-scope systems from "&amp;TEXT('A. Organizational Information'!C3,"dd-MMM-yyyy")&amp;" to "&amp;TEXT('A. Organizational Information'!C4,"dd-MMM-yyyy")&amp;""</f>
        <v>System generated list of program change logs for all in-scope systems from 01-Jan-2025 to 31-Dec-2025</v>
      </c>
      <c r="D9" s="64" t="s">
        <v>73</v>
      </c>
      <c r="E9" s="95" t="s">
        <v>7</v>
      </c>
      <c r="F9" s="95" t="s">
        <v>7</v>
      </c>
      <c r="G9" s="95" t="s">
        <v>7</v>
      </c>
      <c r="H9" s="95" t="s">
        <v>7</v>
      </c>
      <c r="I9" s="95" t="s">
        <v>7</v>
      </c>
      <c r="J9" s="95" t="s">
        <v>7</v>
      </c>
      <c r="K9" s="95" t="s">
        <v>7</v>
      </c>
      <c r="L9" s="95" t="s">
        <v>7</v>
      </c>
      <c r="M9" s="13"/>
      <c r="N9" s="13"/>
    </row>
    <row r="10" spans="1:17" s="35" customFormat="1" ht="49.5" x14ac:dyDescent="0.2">
      <c r="A10" s="72"/>
      <c r="B10" s="104"/>
      <c r="C10" s="86" t="s">
        <v>83</v>
      </c>
      <c r="D10" s="64" t="s">
        <v>72</v>
      </c>
      <c r="E10" s="42" t="s">
        <v>7</v>
      </c>
      <c r="F10" s="42" t="s">
        <v>7</v>
      </c>
      <c r="G10" s="42" t="s">
        <v>7</v>
      </c>
      <c r="H10" s="42" t="s">
        <v>7</v>
      </c>
      <c r="I10" s="42" t="s">
        <v>7</v>
      </c>
      <c r="J10" s="42" t="s">
        <v>7</v>
      </c>
      <c r="K10" s="42" t="s">
        <v>7</v>
      </c>
      <c r="L10" s="42" t="s">
        <v>7</v>
      </c>
      <c r="M10" s="13"/>
      <c r="N10" s="13"/>
    </row>
    <row r="11" spans="1:17" s="35" customFormat="1" ht="39.6" customHeight="1" x14ac:dyDescent="0.2">
      <c r="A11" s="72"/>
      <c r="B11" s="154" t="s">
        <v>40</v>
      </c>
      <c r="C11" s="114" t="s">
        <v>41</v>
      </c>
      <c r="D11" s="62" t="s">
        <v>73</v>
      </c>
      <c r="E11" s="42" t="s">
        <v>7</v>
      </c>
      <c r="F11" s="42" t="s">
        <v>7</v>
      </c>
      <c r="G11" s="42" t="s">
        <v>7</v>
      </c>
      <c r="H11" s="42" t="s">
        <v>7</v>
      </c>
      <c r="I11" s="42" t="s">
        <v>7</v>
      </c>
      <c r="J11" s="42" t="s">
        <v>7</v>
      </c>
      <c r="K11" s="42" t="s">
        <v>7</v>
      </c>
      <c r="L11" s="42" t="s">
        <v>7</v>
      </c>
      <c r="M11" s="13"/>
      <c r="N11" s="13"/>
    </row>
    <row r="12" spans="1:17" s="35" customFormat="1" ht="39.6" customHeight="1" x14ac:dyDescent="0.2">
      <c r="A12" s="72"/>
      <c r="B12" s="155"/>
      <c r="C12" s="114"/>
      <c r="D12" s="62" t="s">
        <v>72</v>
      </c>
      <c r="E12" s="42" t="s">
        <v>7</v>
      </c>
      <c r="F12" s="42" t="s">
        <v>7</v>
      </c>
      <c r="G12" s="42" t="s">
        <v>7</v>
      </c>
      <c r="H12" s="42" t="s">
        <v>7</v>
      </c>
      <c r="I12" s="42" t="s">
        <v>7</v>
      </c>
      <c r="J12" s="42" t="s">
        <v>7</v>
      </c>
      <c r="K12" s="42" t="s">
        <v>7</v>
      </c>
      <c r="L12" s="42" t="s">
        <v>7</v>
      </c>
      <c r="M12" s="13"/>
      <c r="N12" s="13"/>
    </row>
    <row r="13" spans="1:17" s="35" customFormat="1" ht="60.6" customHeight="1" x14ac:dyDescent="0.2">
      <c r="A13" s="72"/>
      <c r="B13" s="154" t="s">
        <v>42</v>
      </c>
      <c r="C13" s="113" t="s">
        <v>97</v>
      </c>
      <c r="D13" s="62" t="s">
        <v>73</v>
      </c>
      <c r="E13" s="42" t="s">
        <v>7</v>
      </c>
      <c r="F13" s="42" t="s">
        <v>7</v>
      </c>
      <c r="G13" s="42" t="s">
        <v>7</v>
      </c>
      <c r="H13" s="42" t="s">
        <v>7</v>
      </c>
      <c r="I13" s="42" t="s">
        <v>7</v>
      </c>
      <c r="J13" s="42" t="s">
        <v>7</v>
      </c>
      <c r="K13" s="42" t="s">
        <v>7</v>
      </c>
      <c r="L13" s="42" t="s">
        <v>7</v>
      </c>
      <c r="M13" s="13"/>
      <c r="N13" s="13"/>
    </row>
    <row r="14" spans="1:17" s="35" customFormat="1" ht="60.6" customHeight="1" x14ac:dyDescent="0.2">
      <c r="A14" s="72"/>
      <c r="B14" s="155"/>
      <c r="C14" s="114"/>
      <c r="D14" s="62" t="s">
        <v>72</v>
      </c>
      <c r="E14" s="42" t="s">
        <v>7</v>
      </c>
      <c r="F14" s="42" t="s">
        <v>7</v>
      </c>
      <c r="G14" s="42" t="s">
        <v>7</v>
      </c>
      <c r="H14" s="42" t="s">
        <v>7</v>
      </c>
      <c r="I14" s="42" t="s">
        <v>7</v>
      </c>
      <c r="J14" s="42" t="s">
        <v>7</v>
      </c>
      <c r="K14" s="42" t="s">
        <v>7</v>
      </c>
      <c r="L14" s="42" t="s">
        <v>7</v>
      </c>
      <c r="M14" s="13"/>
      <c r="N14" s="13"/>
    </row>
    <row r="15" spans="1:17" s="35" customFormat="1" ht="39.6" customHeight="1" x14ac:dyDescent="0.2">
      <c r="A15" s="72" t="s">
        <v>107</v>
      </c>
      <c r="B15" s="156" t="s">
        <v>43</v>
      </c>
      <c r="C15" s="122" t="s">
        <v>84</v>
      </c>
      <c r="D15" s="62" t="s">
        <v>73</v>
      </c>
      <c r="E15" s="42" t="s">
        <v>7</v>
      </c>
      <c r="F15" s="42" t="s">
        <v>7</v>
      </c>
      <c r="G15" s="42" t="s">
        <v>7</v>
      </c>
      <c r="H15" s="42" t="s">
        <v>7</v>
      </c>
      <c r="I15" s="42" t="s">
        <v>7</v>
      </c>
      <c r="J15" s="42" t="s">
        <v>7</v>
      </c>
      <c r="K15" s="42" t="s">
        <v>7</v>
      </c>
      <c r="L15" s="42" t="s">
        <v>7</v>
      </c>
      <c r="M15" s="13"/>
      <c r="N15" s="13"/>
    </row>
    <row r="16" spans="1:17" s="35" customFormat="1" ht="39.6" customHeight="1" x14ac:dyDescent="0.2">
      <c r="A16" s="72"/>
      <c r="B16" s="157"/>
      <c r="C16" s="123"/>
      <c r="D16" s="62" t="s">
        <v>72</v>
      </c>
      <c r="E16" s="42" t="s">
        <v>7</v>
      </c>
      <c r="F16" s="42" t="s">
        <v>7</v>
      </c>
      <c r="G16" s="42" t="s">
        <v>7</v>
      </c>
      <c r="H16" s="42" t="s">
        <v>7</v>
      </c>
      <c r="I16" s="42" t="s">
        <v>7</v>
      </c>
      <c r="J16" s="42" t="s">
        <v>7</v>
      </c>
      <c r="K16" s="42" t="s">
        <v>7</v>
      </c>
      <c r="L16" s="42" t="s">
        <v>7</v>
      </c>
      <c r="M16" s="13"/>
      <c r="N16" s="13"/>
    </row>
    <row r="17" spans="1:14" s="35" customFormat="1" ht="39.6" customHeight="1" x14ac:dyDescent="0.2">
      <c r="A17" s="72"/>
      <c r="B17" s="151" t="s">
        <v>85</v>
      </c>
      <c r="C17" s="152" t="s">
        <v>44</v>
      </c>
      <c r="D17" s="64" t="s">
        <v>73</v>
      </c>
      <c r="E17" s="42" t="s">
        <v>7</v>
      </c>
      <c r="F17" s="42" t="s">
        <v>7</v>
      </c>
      <c r="G17" s="42" t="s">
        <v>7</v>
      </c>
      <c r="H17" s="42" t="s">
        <v>7</v>
      </c>
      <c r="I17" s="42" t="s">
        <v>7</v>
      </c>
      <c r="J17" s="42" t="s">
        <v>7</v>
      </c>
      <c r="K17" s="42" t="s">
        <v>7</v>
      </c>
      <c r="L17" s="42" t="s">
        <v>7</v>
      </c>
      <c r="M17" s="13"/>
      <c r="N17" s="13"/>
    </row>
    <row r="18" spans="1:14" s="35" customFormat="1" ht="39.6" customHeight="1" x14ac:dyDescent="0.2">
      <c r="A18" s="72"/>
      <c r="B18" s="151"/>
      <c r="C18" s="152"/>
      <c r="D18" s="64" t="s">
        <v>72</v>
      </c>
      <c r="E18" s="42" t="s">
        <v>7</v>
      </c>
      <c r="F18" s="42" t="s">
        <v>7</v>
      </c>
      <c r="G18" s="42" t="s">
        <v>7</v>
      </c>
      <c r="H18" s="42" t="s">
        <v>7</v>
      </c>
      <c r="I18" s="42" t="s">
        <v>7</v>
      </c>
      <c r="J18" s="42" t="s">
        <v>7</v>
      </c>
      <c r="K18" s="42" t="s">
        <v>7</v>
      </c>
      <c r="L18" s="42" t="s">
        <v>7</v>
      </c>
      <c r="M18" s="13"/>
      <c r="N18" s="13"/>
    </row>
  </sheetData>
  <mergeCells count="13">
    <mergeCell ref="A7:D7"/>
    <mergeCell ref="M7:M8"/>
    <mergeCell ref="N7:N8"/>
    <mergeCell ref="B17:B18"/>
    <mergeCell ref="C17:C18"/>
    <mergeCell ref="C11:C12"/>
    <mergeCell ref="B9:B10"/>
    <mergeCell ref="B11:B12"/>
    <mergeCell ref="C13:C14"/>
    <mergeCell ref="C15:C16"/>
    <mergeCell ref="B15:B16"/>
    <mergeCell ref="B13:B14"/>
    <mergeCell ref="E7:L7"/>
  </mergeCells>
  <conditionalFormatting sqref="D8:D18">
    <cfRule type="containsText" dxfId="37" priority="5" operator="containsText" text="Operating system">
      <formula>NOT(ISERROR(SEARCH("Operating system",D8)))</formula>
    </cfRule>
  </conditionalFormatting>
  <conditionalFormatting sqref="D9:D18">
    <cfRule type="containsText" dxfId="36" priority="6" operator="containsText" text="Operating system">
      <formula>NOT(ISERROR(SEARCH("Operating system",D9)))</formula>
    </cfRule>
    <cfRule type="containsText" dxfId="35" priority="7" operator="containsText" text="Database">
      <formula>NOT(ISERROR(SEARCH("Database",D9)))</formula>
    </cfRule>
    <cfRule type="containsText" dxfId="34" priority="8" operator="containsText" text="Application (APP)">
      <formula>NOT(ISERROR(SEARCH("Application (APP)",D9)))</formula>
    </cfRule>
  </conditionalFormatting>
  <dataValidations count="1">
    <dataValidation type="list" allowBlank="1" showInputMessage="1" showErrorMessage="1" sqref="M2:M5 E9:L18">
      <formula1>$Q$2:$Q$5</formula1>
    </dataValidation>
  </dataValidations>
  <pageMargins left="0.75" right="0.75" top="1" bottom="1" header="0.5" footer="0.5"/>
  <pageSetup paperSize="9" scale="48" fitToHeight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2DE5694-6503-4939-9478-8AA66D64537A}">
            <xm:f>NOT(ISERROR(SEARCH($Q$5,E9)))</xm:f>
            <xm:f>$Q$5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2" operator="containsText" id="{B57CAA09-9117-41BC-B62C-60560C079268}">
            <xm:f>NOT(ISERROR(SEARCH($Q$4,E9)))</xm:f>
            <xm:f>$Q$4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" operator="containsText" id="{8419A7BE-F07E-4123-9961-33EDC85DC3E1}">
            <xm:f>NOT(ISERROR(SEARCH($Q$3,E9)))</xm:f>
            <xm:f>$Q$3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" operator="containsText" id="{D2D4A6FF-B119-4A7B-AAC4-F04399DE2B8E}">
            <xm:f>NOT(ISERROR(SEARCH($Q$2,E9)))</xm:f>
            <xm:f>$Q$2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E9:L18</xm:sqref>
        </x14:conditionalFormatting>
        <x14:conditionalFormatting xmlns:xm="http://schemas.microsoft.com/office/excel/2006/main">
          <x14:cfRule type="containsText" priority="50" operator="containsText" id="{188A6D6C-1632-4FBA-9EEF-DF5B5FEB4EC1}">
            <xm:f>NOT(ISERROR(SEARCH($Q$5,M2)))</xm:f>
            <xm:f>$Q$5</xm:f>
            <x14:dxf>
              <font>
                <b/>
                <i val="0"/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51" operator="containsText" id="{B80DCD6B-286F-41F5-A444-60DDADC85E87}">
            <xm:f>NOT(ISERROR(SEARCH($Q$4,M2)))</xm:f>
            <xm:f>$Q$4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2" operator="containsText" id="{6F10E00B-DB99-4F22-9EB7-D9499828B6AC}">
            <xm:f>NOT(ISERROR(SEARCH($Q$3,M2)))</xm:f>
            <xm:f>$Q$3</xm:f>
            <x14:dxf>
              <font>
                <b/>
                <i val="0"/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ontainsText" priority="53" operator="containsText" id="{20CA80F4-29B0-4F5F-8586-A917CC5D6957}">
            <xm:f>NOT(ISERROR(SEARCH($Q$2,M2)))</xm:f>
            <xm:f>$Q$2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M2:M5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J10"/>
  <sheetViews>
    <sheetView showGridLines="0" tabSelected="1" zoomScale="70" zoomScaleNormal="70" zoomScaleSheetLayoutView="85" workbookViewId="0">
      <selection activeCell="C9" sqref="C9"/>
    </sheetView>
  </sheetViews>
  <sheetFormatPr defaultColWidth="9.140625" defaultRowHeight="16.5" x14ac:dyDescent="0.3"/>
  <cols>
    <col min="1" max="1" width="36.5703125" style="2" bestFit="1" customWidth="1"/>
    <col min="2" max="2" width="10.5703125" style="2" customWidth="1"/>
    <col min="3" max="3" width="92.5703125" style="57" customWidth="1"/>
    <col min="4" max="4" width="30.5703125" style="2" customWidth="1"/>
    <col min="5" max="5" width="18.5703125" style="2" customWidth="1"/>
    <col min="6" max="6" width="22.5703125" style="2" customWidth="1"/>
    <col min="7" max="7" width="27.42578125" style="2" customWidth="1"/>
    <col min="8" max="8" width="29.140625" style="2" customWidth="1"/>
    <col min="9" max="9" width="10.5703125" style="2" customWidth="1"/>
    <col min="10" max="10" width="14" style="2" hidden="1" customWidth="1"/>
    <col min="11" max="11" width="13.42578125" style="2" customWidth="1"/>
    <col min="12" max="12" width="45.5703125" style="2" customWidth="1"/>
    <col min="13" max="16384" width="9.140625" style="2"/>
  </cols>
  <sheetData>
    <row r="1" spans="1:10" x14ac:dyDescent="0.3">
      <c r="A1" s="1" t="s">
        <v>0</v>
      </c>
      <c r="C1" s="3" t="str">
        <f>'A. Organizational Information'!C1</f>
        <v>Nagaworld Limited</v>
      </c>
      <c r="D1" s="3"/>
      <c r="F1" s="36" t="s">
        <v>1</v>
      </c>
      <c r="G1" s="36" t="s">
        <v>2</v>
      </c>
    </row>
    <row r="2" spans="1:10" x14ac:dyDescent="0.3">
      <c r="A2" s="1" t="s">
        <v>3</v>
      </c>
      <c r="C2" s="3" t="str">
        <f>'A. Organizational Information'!C2</f>
        <v>FOR THE FINANCIAL YEAR ENDED 31-Dec-2025</v>
      </c>
      <c r="D2" s="3"/>
      <c r="E2" s="42" t="s">
        <v>4</v>
      </c>
      <c r="F2" s="7">
        <f>COUNTIF($E$9:$E$14,E2)</f>
        <v>0</v>
      </c>
      <c r="G2" s="38">
        <f>F2/SUM($F$2:$F$5)</f>
        <v>0</v>
      </c>
      <c r="J2" s="15" t="s">
        <v>6</v>
      </c>
    </row>
    <row r="3" spans="1:10" ht="33" x14ac:dyDescent="0.3">
      <c r="A3" s="1"/>
      <c r="C3" s="3"/>
      <c r="D3" s="3"/>
      <c r="E3" s="42" t="s">
        <v>5</v>
      </c>
      <c r="F3" s="7">
        <f>COUNTIF($E$9:$E$14,E3)</f>
        <v>0</v>
      </c>
      <c r="G3" s="38">
        <f>F3/SUM($F$2:$F$5)</f>
        <v>0</v>
      </c>
      <c r="J3" s="16" t="s">
        <v>7</v>
      </c>
    </row>
    <row r="4" spans="1:10" x14ac:dyDescent="0.3">
      <c r="A4" s="1"/>
      <c r="C4" s="3"/>
      <c r="D4" s="3"/>
      <c r="E4" s="42" t="s">
        <v>7</v>
      </c>
      <c r="F4" s="7">
        <f>COUNTIF($E$9:$E$14,E4)</f>
        <v>2</v>
      </c>
      <c r="G4" s="38">
        <f>F4/SUM($F$2:$F$5)</f>
        <v>1</v>
      </c>
      <c r="J4" s="17" t="s">
        <v>5</v>
      </c>
    </row>
    <row r="5" spans="1:10" x14ac:dyDescent="0.3">
      <c r="A5" s="1"/>
      <c r="C5" s="3"/>
      <c r="D5" s="3"/>
      <c r="E5" s="42" t="s">
        <v>6</v>
      </c>
      <c r="F5" s="7">
        <f>COUNTIF($E$9:$E$14,E5)</f>
        <v>0</v>
      </c>
      <c r="G5" s="38">
        <f>F5/SUM($F$2:$F$5)</f>
        <v>0</v>
      </c>
      <c r="J5" s="18" t="s">
        <v>4</v>
      </c>
    </row>
    <row r="6" spans="1:10" x14ac:dyDescent="0.3">
      <c r="A6" s="1"/>
      <c r="C6" s="3"/>
      <c r="D6" s="3"/>
      <c r="E6" s="3"/>
      <c r="G6" s="4"/>
    </row>
    <row r="7" spans="1:10" x14ac:dyDescent="0.3">
      <c r="A7" s="119" t="s">
        <v>8</v>
      </c>
      <c r="B7" s="120"/>
      <c r="C7" s="120"/>
      <c r="D7" s="121"/>
      <c r="E7" s="68" t="s">
        <v>12</v>
      </c>
      <c r="F7" s="136" t="s">
        <v>13</v>
      </c>
      <c r="G7" s="136" t="s">
        <v>14</v>
      </c>
    </row>
    <row r="8" spans="1:10" ht="33" x14ac:dyDescent="0.3">
      <c r="A8" s="54" t="s">
        <v>9</v>
      </c>
      <c r="B8" s="26" t="s">
        <v>10</v>
      </c>
      <c r="C8" s="27" t="s">
        <v>11</v>
      </c>
      <c r="D8" s="27" t="s">
        <v>70</v>
      </c>
      <c r="E8" s="28" t="s">
        <v>117</v>
      </c>
      <c r="F8" s="137"/>
      <c r="G8" s="137"/>
    </row>
    <row r="9" spans="1:10" ht="198" x14ac:dyDescent="0.3">
      <c r="A9" s="23" t="s">
        <v>45</v>
      </c>
      <c r="B9" s="45" t="s">
        <v>46</v>
      </c>
      <c r="C9" s="84" t="s">
        <v>47</v>
      </c>
      <c r="D9" s="64" t="s">
        <v>73</v>
      </c>
      <c r="E9" s="42" t="s">
        <v>7</v>
      </c>
      <c r="F9" s="44"/>
      <c r="G9" s="44"/>
    </row>
    <row r="10" spans="1:10" ht="174" customHeight="1" x14ac:dyDescent="0.3">
      <c r="A10" s="61"/>
      <c r="B10" s="74" t="s">
        <v>48</v>
      </c>
      <c r="C10" s="85" t="s">
        <v>49</v>
      </c>
      <c r="D10" s="64" t="s">
        <v>73</v>
      </c>
      <c r="E10" s="42" t="s">
        <v>7</v>
      </c>
      <c r="F10" s="44"/>
      <c r="G10" s="44"/>
    </row>
  </sheetData>
  <mergeCells count="3">
    <mergeCell ref="A7:D7"/>
    <mergeCell ref="F7:F8"/>
    <mergeCell ref="G7:G8"/>
  </mergeCells>
  <conditionalFormatting sqref="D8:D10">
    <cfRule type="containsText" dxfId="25" priority="5" operator="containsText" text="Operating system">
      <formula>NOT(ISERROR(SEARCH("Operating system",D8)))</formula>
    </cfRule>
  </conditionalFormatting>
  <conditionalFormatting sqref="D9:D10">
    <cfRule type="containsText" dxfId="24" priority="6" operator="containsText" text="Operating system">
      <formula>NOT(ISERROR(SEARCH("Operating system",D9)))</formula>
    </cfRule>
    <cfRule type="containsText" dxfId="23" priority="7" operator="containsText" text="Database">
      <formula>NOT(ISERROR(SEARCH("Database",D9)))</formula>
    </cfRule>
    <cfRule type="containsText" dxfId="22" priority="8" operator="containsText" text="Application (APP)">
      <formula>NOT(ISERROR(SEARCH("Application (APP)",D9)))</formula>
    </cfRule>
  </conditionalFormatting>
  <dataValidations count="1">
    <dataValidation type="list" allowBlank="1" showInputMessage="1" showErrorMessage="1" sqref="E2:E5 E9:E10">
      <formula1>$J$2:$J$5</formula1>
    </dataValidation>
  </dataValidations>
  <pageMargins left="0.75" right="0.75" top="1" bottom="1" header="0.5" footer="0.5"/>
  <pageSetup paperSize="9" scale="48" fitToHeight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" operator="containsText" id="{60F20A46-C24E-4F8E-B353-8BB2F28A496B}">
            <xm:f>NOT(ISERROR(SEARCH($J$5,E2)))</xm:f>
            <xm:f>$J$5</xm:f>
            <x14:dxf>
              <font>
                <b/>
                <i val="0"/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E734A4B6-2345-4384-A496-EEDA66336332}">
            <xm:f>NOT(ISERROR(SEARCH($J$4,E2)))</xm:f>
            <xm:f>$J$4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6" operator="containsText" id="{FDDD223A-375B-420F-91D1-0B158C3D1F1C}">
            <xm:f>NOT(ISERROR(SEARCH($J$3,E2)))</xm:f>
            <xm:f>$J$3</xm:f>
            <x14:dxf>
              <font>
                <b/>
                <i val="0"/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ontainsText" priority="17" operator="containsText" id="{342C6283-D4BF-4E69-8E62-904356B3EC8E}">
            <xm:f>NOT(ISERROR(SEARCH($J$2,E2)))</xm:f>
            <xm:f>$J$2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E2:E5</xm:sqref>
        </x14:conditionalFormatting>
        <x14:conditionalFormatting xmlns:xm="http://schemas.microsoft.com/office/excel/2006/main">
          <x14:cfRule type="containsText" priority="57" operator="containsText" id="{65B28EDD-8647-4440-9CB6-FF257B2264D7}">
            <xm:f>NOT(ISERROR(SEARCH($J$5,E9)))</xm:f>
            <xm:f>$J$5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58" operator="containsText" id="{7D9CB68C-6900-4E27-9EAD-A553B1A54D64}">
            <xm:f>NOT(ISERROR(SEARCH($J$4,E9)))</xm:f>
            <xm:f>$J$4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9" operator="containsText" id="{D5D7B898-FC22-44BF-9E73-5BEC44F8C76C}">
            <xm:f>NOT(ISERROR(SEARCH($J$3,E9)))</xm:f>
            <xm:f>$J$3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60" operator="containsText" id="{997EEFC1-1AC9-42F7-AAD2-8C79D0D6130E}">
            <xm:f>NOT(ISERROR(SEARCH($J$2,E9)))</xm:f>
            <xm:f>$J$2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E9:E10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S25"/>
  <sheetViews>
    <sheetView showGridLines="0" zoomScale="70" zoomScaleNormal="70" zoomScaleSheetLayoutView="85" workbookViewId="0">
      <selection activeCell="D6" sqref="D6"/>
    </sheetView>
  </sheetViews>
  <sheetFormatPr defaultColWidth="9.140625" defaultRowHeight="16.5" x14ac:dyDescent="0.3"/>
  <cols>
    <col min="1" max="1" width="36.5703125" style="2" bestFit="1" customWidth="1"/>
    <col min="2" max="2" width="10.5703125" style="2" customWidth="1"/>
    <col min="3" max="3" width="92.5703125" style="81" customWidth="1"/>
    <col min="4" max="4" width="30.5703125" style="2" customWidth="1"/>
    <col min="5" max="8" width="18.5703125" style="2" customWidth="1"/>
    <col min="9" max="12" width="18.5703125" style="102" customWidth="1"/>
    <col min="13" max="13" width="27.42578125" style="2" customWidth="1"/>
    <col min="14" max="14" width="29.140625" style="2" customWidth="1"/>
    <col min="15" max="15" width="14" style="2" customWidth="1"/>
    <col min="16" max="16" width="13.42578125" style="2" hidden="1" customWidth="1"/>
    <col min="17" max="17" width="45.5703125" style="2" customWidth="1"/>
    <col min="18" max="19" width="9.140625" style="2"/>
    <col min="20" max="20" width="15.42578125" style="2" customWidth="1"/>
    <col min="21" max="16384" width="9.140625" style="2"/>
  </cols>
  <sheetData>
    <row r="1" spans="1:17" x14ac:dyDescent="0.3">
      <c r="A1" s="1" t="s">
        <v>0</v>
      </c>
      <c r="C1" s="80" t="str">
        <f>'A. Organizational Information'!C1</f>
        <v>Nagaworld Limited</v>
      </c>
      <c r="D1" s="3"/>
      <c r="E1" s="3"/>
      <c r="F1" s="3"/>
      <c r="I1" s="2"/>
      <c r="J1" s="2"/>
      <c r="K1" s="2"/>
      <c r="L1" s="2"/>
      <c r="N1" s="36" t="s">
        <v>1</v>
      </c>
      <c r="O1" s="36" t="s">
        <v>2</v>
      </c>
    </row>
    <row r="2" spans="1:17" x14ac:dyDescent="0.3">
      <c r="A2" s="1" t="s">
        <v>3</v>
      </c>
      <c r="C2" s="80" t="str">
        <f>'A. Organizational Information'!C2</f>
        <v>FOR THE FINANCIAL YEAR ENDED 31-Dec-2025</v>
      </c>
      <c r="D2" s="3"/>
      <c r="E2" s="3"/>
      <c r="F2" s="3"/>
      <c r="I2" s="2"/>
      <c r="J2" s="2"/>
      <c r="K2" s="2"/>
      <c r="L2" s="2"/>
      <c r="M2" s="41" t="s">
        <v>4</v>
      </c>
      <c r="N2" s="7">
        <f>COUNTIF($E$9:$H$23,M2)</f>
        <v>0</v>
      </c>
      <c r="O2" s="38">
        <f>N2/SUM($N$2:$N$5)</f>
        <v>0</v>
      </c>
      <c r="Q2" s="15" t="s">
        <v>6</v>
      </c>
    </row>
    <row r="3" spans="1:17" x14ac:dyDescent="0.3">
      <c r="I3" s="2"/>
      <c r="J3" s="2"/>
      <c r="K3" s="2"/>
      <c r="L3" s="2"/>
      <c r="M3" s="41" t="s">
        <v>5</v>
      </c>
      <c r="N3" s="7">
        <f>COUNTIF($E$9:$H$23,M3)</f>
        <v>0</v>
      </c>
      <c r="O3" s="38">
        <f>N3/SUM($N$2:$N$5)</f>
        <v>0</v>
      </c>
      <c r="Q3" s="16" t="s">
        <v>7</v>
      </c>
    </row>
    <row r="4" spans="1:17" x14ac:dyDescent="0.3">
      <c r="I4" s="2"/>
      <c r="J4" s="2"/>
      <c r="K4" s="2"/>
      <c r="L4" s="2"/>
      <c r="M4" s="41" t="s">
        <v>7</v>
      </c>
      <c r="N4" s="7">
        <f>COUNTIF($E$9:$L$23,M4)</f>
        <v>64</v>
      </c>
      <c r="O4" s="38">
        <f>N4/SUM($N$2:$N$5)</f>
        <v>0.69565217391304346</v>
      </c>
      <c r="Q4" s="17" t="s">
        <v>5</v>
      </c>
    </row>
    <row r="5" spans="1:17" x14ac:dyDescent="0.3">
      <c r="I5" s="2"/>
      <c r="J5" s="2"/>
      <c r="K5" s="2"/>
      <c r="L5" s="2"/>
      <c r="M5" s="41" t="s">
        <v>6</v>
      </c>
      <c r="N5" s="7">
        <f>COUNTIF($E$9:$H$23,M5)</f>
        <v>28</v>
      </c>
      <c r="O5" s="38">
        <f>N5/SUM($N$2:$N$5)</f>
        <v>0.30434782608695654</v>
      </c>
      <c r="Q5" s="18" t="s">
        <v>4</v>
      </c>
    </row>
    <row r="6" spans="1:17" x14ac:dyDescent="0.3">
      <c r="I6" s="2"/>
      <c r="J6" s="2"/>
      <c r="K6" s="2"/>
      <c r="L6" s="2"/>
    </row>
    <row r="7" spans="1:17" x14ac:dyDescent="0.3">
      <c r="A7" s="158" t="s">
        <v>8</v>
      </c>
      <c r="B7" s="158"/>
      <c r="C7" s="158"/>
      <c r="D7" s="158"/>
      <c r="E7" s="159" t="s">
        <v>12</v>
      </c>
      <c r="F7" s="160"/>
      <c r="G7" s="160"/>
      <c r="H7" s="161"/>
      <c r="I7" s="94"/>
      <c r="J7" s="94"/>
      <c r="K7" s="94"/>
      <c r="L7" s="94"/>
      <c r="M7" s="149" t="s">
        <v>13</v>
      </c>
      <c r="N7" s="149" t="s">
        <v>14</v>
      </c>
    </row>
    <row r="8" spans="1:17" x14ac:dyDescent="0.3">
      <c r="A8" s="75" t="s">
        <v>9</v>
      </c>
      <c r="B8" s="20" t="s">
        <v>10</v>
      </c>
      <c r="C8" s="82" t="s">
        <v>11</v>
      </c>
      <c r="D8" s="19" t="s">
        <v>70</v>
      </c>
      <c r="E8" s="28" t="str">
        <f>'A. Organizational Information'!G1</f>
        <v>Bally</v>
      </c>
      <c r="F8" s="28" t="str">
        <f>'A. Organizational Information'!G2</f>
        <v>Opera</v>
      </c>
      <c r="G8" s="28" t="str">
        <f>'A. Organizational Information'!G3</f>
        <v>Simphony POS</v>
      </c>
      <c r="H8" s="28" t="str">
        <f>'A. Organizational Information'!G4</f>
        <v>Material Control</v>
      </c>
      <c r="I8" s="28" t="s">
        <v>122</v>
      </c>
      <c r="J8" s="28" t="s">
        <v>123</v>
      </c>
      <c r="K8" s="28" t="s">
        <v>124</v>
      </c>
      <c r="L8" s="28" t="s">
        <v>125</v>
      </c>
      <c r="M8" s="149"/>
      <c r="N8" s="149"/>
    </row>
    <row r="9" spans="1:17" ht="149.44999999999999" customHeight="1" x14ac:dyDescent="0.3">
      <c r="A9" s="71" t="s">
        <v>113</v>
      </c>
      <c r="B9" s="78" t="s">
        <v>50</v>
      </c>
      <c r="C9" s="31" t="str">
        <f>"System generated list of automated job processing (e.g. batch, scheduled, system, interface jobs) for all in-scope application from "&amp;TEXT('A. Organizational Information'!C3,"dd-MMM-yyyy")&amp;" to "&amp;TEXT('A. Organizational Information'!C4,"dd-MMM-yyyy")&amp;""</f>
        <v>System generated list of automated job processing (e.g. batch, scheduled, system, interface jobs) for all in-scope application from 01-Jan-2025 to 31-Dec-2025</v>
      </c>
      <c r="D9" s="64" t="s">
        <v>73</v>
      </c>
      <c r="E9" s="41" t="s">
        <v>7</v>
      </c>
      <c r="F9" s="41" t="s">
        <v>7</v>
      </c>
      <c r="G9" s="41" t="s">
        <v>7</v>
      </c>
      <c r="H9" s="41" t="s">
        <v>7</v>
      </c>
      <c r="I9" s="41" t="s">
        <v>7</v>
      </c>
      <c r="J9" s="41" t="s">
        <v>7</v>
      </c>
      <c r="K9" s="41" t="s">
        <v>7</v>
      </c>
      <c r="L9" s="41" t="s">
        <v>7</v>
      </c>
      <c r="M9" s="44"/>
      <c r="N9" s="59"/>
    </row>
    <row r="10" spans="1:17" ht="149.44999999999999" customHeight="1" x14ac:dyDescent="0.3">
      <c r="A10" s="46"/>
      <c r="B10" s="78" t="s">
        <v>51</v>
      </c>
      <c r="C10" s="21" t="s">
        <v>52</v>
      </c>
      <c r="D10" s="64" t="s">
        <v>73</v>
      </c>
      <c r="E10" s="41" t="s">
        <v>7</v>
      </c>
      <c r="F10" s="41" t="s">
        <v>7</v>
      </c>
      <c r="G10" s="41" t="s">
        <v>7</v>
      </c>
      <c r="H10" s="41" t="s">
        <v>7</v>
      </c>
      <c r="I10" s="41" t="s">
        <v>7</v>
      </c>
      <c r="J10" s="41" t="s">
        <v>7</v>
      </c>
      <c r="K10" s="41" t="s">
        <v>7</v>
      </c>
      <c r="L10" s="41" t="s">
        <v>7</v>
      </c>
      <c r="M10" s="44"/>
      <c r="N10" s="59"/>
    </row>
    <row r="11" spans="1:17" ht="149.44999999999999" customHeight="1" x14ac:dyDescent="0.3">
      <c r="A11" s="46"/>
      <c r="B11" s="78" t="s">
        <v>53</v>
      </c>
      <c r="C11" s="32" t="s">
        <v>92</v>
      </c>
      <c r="D11" s="64" t="s">
        <v>73</v>
      </c>
      <c r="E11" s="41" t="s">
        <v>7</v>
      </c>
      <c r="F11" s="41" t="s">
        <v>7</v>
      </c>
      <c r="G11" s="41" t="s">
        <v>7</v>
      </c>
      <c r="H11" s="41" t="s">
        <v>7</v>
      </c>
      <c r="I11" s="41" t="s">
        <v>7</v>
      </c>
      <c r="J11" s="41" t="s">
        <v>7</v>
      </c>
      <c r="K11" s="41" t="s">
        <v>7</v>
      </c>
      <c r="L11" s="41" t="s">
        <v>7</v>
      </c>
      <c r="M11" s="44"/>
      <c r="N11" s="59"/>
    </row>
    <row r="12" spans="1:17" ht="149.44999999999999" customHeight="1" x14ac:dyDescent="0.3">
      <c r="A12" s="46"/>
      <c r="B12" s="78" t="s">
        <v>54</v>
      </c>
      <c r="C12" s="31" t="s">
        <v>98</v>
      </c>
      <c r="D12" s="64" t="s">
        <v>73</v>
      </c>
      <c r="E12" s="41" t="s">
        <v>7</v>
      </c>
      <c r="F12" s="41" t="s">
        <v>7</v>
      </c>
      <c r="G12" s="41" t="s">
        <v>7</v>
      </c>
      <c r="H12" s="41" t="s">
        <v>7</v>
      </c>
      <c r="I12" s="41" t="s">
        <v>7</v>
      </c>
      <c r="J12" s="41" t="s">
        <v>7</v>
      </c>
      <c r="K12" s="41" t="s">
        <v>7</v>
      </c>
      <c r="L12" s="41" t="s">
        <v>7</v>
      </c>
      <c r="M12" s="44"/>
      <c r="N12" s="59"/>
    </row>
    <row r="13" spans="1:17" ht="149.44999999999999" customHeight="1" x14ac:dyDescent="0.3">
      <c r="A13" s="46"/>
      <c r="B13" s="78" t="s">
        <v>55</v>
      </c>
      <c r="C13" s="31" t="s">
        <v>93</v>
      </c>
      <c r="D13" s="64" t="s">
        <v>73</v>
      </c>
      <c r="E13" s="41" t="s">
        <v>7</v>
      </c>
      <c r="F13" s="41" t="s">
        <v>7</v>
      </c>
      <c r="G13" s="41" t="s">
        <v>7</v>
      </c>
      <c r="H13" s="41" t="s">
        <v>7</v>
      </c>
      <c r="I13" s="41" t="s">
        <v>7</v>
      </c>
      <c r="J13" s="41" t="s">
        <v>7</v>
      </c>
      <c r="K13" s="41" t="s">
        <v>7</v>
      </c>
      <c r="L13" s="41" t="s">
        <v>7</v>
      </c>
      <c r="M13" s="44"/>
      <c r="N13" s="59"/>
    </row>
    <row r="14" spans="1:17" ht="149.44999999999999" customHeight="1" x14ac:dyDescent="0.3">
      <c r="A14" s="47"/>
      <c r="B14" s="79" t="s">
        <v>87</v>
      </c>
      <c r="C14" s="21" t="s">
        <v>88</v>
      </c>
      <c r="D14" s="64" t="s">
        <v>73</v>
      </c>
      <c r="E14" s="41" t="s">
        <v>7</v>
      </c>
      <c r="F14" s="41" t="s">
        <v>7</v>
      </c>
      <c r="G14" s="41" t="s">
        <v>7</v>
      </c>
      <c r="H14" s="41" t="s">
        <v>7</v>
      </c>
      <c r="I14" s="41" t="s">
        <v>7</v>
      </c>
      <c r="J14" s="41" t="s">
        <v>7</v>
      </c>
      <c r="K14" s="41" t="s">
        <v>7</v>
      </c>
      <c r="L14" s="41" t="s">
        <v>7</v>
      </c>
      <c r="M14" s="44"/>
      <c r="N14" s="59"/>
    </row>
    <row r="15" spans="1:17" ht="149.44999999999999" customHeight="1" x14ac:dyDescent="0.3">
      <c r="A15" s="23" t="s">
        <v>114</v>
      </c>
      <c r="B15" s="79" t="s">
        <v>56</v>
      </c>
      <c r="C15" s="31" t="str">
        <f>"System generated list of backup schedules (e.g. batch, scheduled, system, interface jobs) for all in-scope application from "&amp;TEXT('A. Organizational Information'!C3,"dd-MMM-yyyy")&amp;" to "&amp;TEXT('A. Organizational Information'!C4,"dd-MMM-yyyy")&amp;""</f>
        <v>System generated list of backup schedules (e.g. batch, scheduled, system, interface jobs) for all in-scope application from 01-Jan-2025 to 31-Dec-2025</v>
      </c>
      <c r="D15" s="64" t="s">
        <v>73</v>
      </c>
      <c r="E15" s="41" t="s">
        <v>6</v>
      </c>
      <c r="F15" s="41" t="s">
        <v>6</v>
      </c>
      <c r="G15" s="41" t="s">
        <v>6</v>
      </c>
      <c r="H15" s="41" t="s">
        <v>6</v>
      </c>
      <c r="I15" s="41" t="s">
        <v>6</v>
      </c>
      <c r="J15" s="41" t="s">
        <v>6</v>
      </c>
      <c r="K15" s="41" t="s">
        <v>6</v>
      </c>
      <c r="L15" s="41" t="s">
        <v>6</v>
      </c>
      <c r="M15" s="44"/>
      <c r="N15" s="59"/>
    </row>
    <row r="16" spans="1:17" ht="149.44999999999999" customHeight="1" x14ac:dyDescent="0.3">
      <c r="A16" s="83"/>
      <c r="B16" s="78" t="s">
        <v>99</v>
      </c>
      <c r="C16" s="21" t="s">
        <v>100</v>
      </c>
      <c r="D16" s="64" t="s">
        <v>73</v>
      </c>
      <c r="E16" s="41" t="s">
        <v>6</v>
      </c>
      <c r="F16" s="41" t="s">
        <v>6</v>
      </c>
      <c r="G16" s="41" t="s">
        <v>6</v>
      </c>
      <c r="H16" s="41" t="s">
        <v>6</v>
      </c>
      <c r="I16" s="41" t="s">
        <v>6</v>
      </c>
      <c r="J16" s="41" t="s">
        <v>6</v>
      </c>
      <c r="K16" s="41" t="s">
        <v>6</v>
      </c>
      <c r="L16" s="41" t="s">
        <v>6</v>
      </c>
      <c r="M16" s="44"/>
      <c r="N16" s="59"/>
    </row>
    <row r="17" spans="1:19" ht="149.44999999999999" customHeight="1" x14ac:dyDescent="0.3">
      <c r="A17" s="48"/>
      <c r="B17" s="78" t="s">
        <v>57</v>
      </c>
      <c r="C17" s="32" t="s">
        <v>101</v>
      </c>
      <c r="D17" s="64" t="s">
        <v>73</v>
      </c>
      <c r="E17" s="41" t="s">
        <v>6</v>
      </c>
      <c r="F17" s="41" t="s">
        <v>6</v>
      </c>
      <c r="G17" s="41" t="s">
        <v>6</v>
      </c>
      <c r="H17" s="41" t="s">
        <v>6</v>
      </c>
      <c r="I17" s="41" t="s">
        <v>6</v>
      </c>
      <c r="J17" s="41" t="s">
        <v>6</v>
      </c>
      <c r="K17" s="41" t="s">
        <v>6</v>
      </c>
      <c r="L17" s="41" t="s">
        <v>6</v>
      </c>
      <c r="M17" s="44"/>
      <c r="N17" s="59"/>
    </row>
    <row r="18" spans="1:19" ht="149.44999999999999" customHeight="1" x14ac:dyDescent="0.3">
      <c r="A18" s="48"/>
      <c r="B18" s="78" t="s">
        <v>58</v>
      </c>
      <c r="C18" s="21" t="s">
        <v>102</v>
      </c>
      <c r="D18" s="64" t="s">
        <v>73</v>
      </c>
      <c r="E18" s="41" t="s">
        <v>6</v>
      </c>
      <c r="F18" s="41" t="s">
        <v>6</v>
      </c>
      <c r="G18" s="41" t="s">
        <v>6</v>
      </c>
      <c r="H18" s="41" t="s">
        <v>6</v>
      </c>
      <c r="I18" s="41" t="s">
        <v>6</v>
      </c>
      <c r="J18" s="41" t="s">
        <v>6</v>
      </c>
      <c r="K18" s="41" t="s">
        <v>6</v>
      </c>
      <c r="L18" s="41" t="s">
        <v>6</v>
      </c>
      <c r="M18" s="44"/>
      <c r="N18" s="59"/>
      <c r="S18" s="34"/>
    </row>
    <row r="19" spans="1:19" ht="149.44999999999999" customHeight="1" x14ac:dyDescent="0.3">
      <c r="A19" s="48"/>
      <c r="B19" s="78" t="s">
        <v>59</v>
      </c>
      <c r="C19" s="21" t="str">
        <f>"Backup restoration testing performed for all in-scope applications from "&amp;TEXT('A. Organizational Information'!C3,"dd-MMM-yyyy")&amp;" to "&amp;TEXT('A. Organizational Information'!C4,"dd-MMM-yyyy")&amp;"."</f>
        <v>Backup restoration testing performed for all in-scope applications from 01-Jan-2025 to 31-Dec-2025.</v>
      </c>
      <c r="D19" s="64" t="s">
        <v>73</v>
      </c>
      <c r="E19" s="41" t="s">
        <v>6</v>
      </c>
      <c r="F19" s="41" t="s">
        <v>6</v>
      </c>
      <c r="G19" s="41" t="s">
        <v>6</v>
      </c>
      <c r="H19" s="41" t="s">
        <v>6</v>
      </c>
      <c r="I19" s="41" t="s">
        <v>6</v>
      </c>
      <c r="J19" s="41" t="s">
        <v>6</v>
      </c>
      <c r="K19" s="41" t="s">
        <v>6</v>
      </c>
      <c r="L19" s="41" t="s">
        <v>6</v>
      </c>
      <c r="M19" s="44"/>
      <c r="N19" s="59"/>
      <c r="S19" s="34"/>
    </row>
    <row r="20" spans="1:19" ht="149.44999999999999" customHeight="1" x14ac:dyDescent="0.3">
      <c r="A20" s="48"/>
      <c r="B20" s="78" t="s">
        <v>60</v>
      </c>
      <c r="C20" s="31" t="s">
        <v>89</v>
      </c>
      <c r="D20" s="64" t="s">
        <v>73</v>
      </c>
      <c r="E20" s="41" t="s">
        <v>6</v>
      </c>
      <c r="F20" s="41" t="s">
        <v>6</v>
      </c>
      <c r="G20" s="41" t="s">
        <v>6</v>
      </c>
      <c r="H20" s="41" t="s">
        <v>6</v>
      </c>
      <c r="I20" s="41" t="s">
        <v>6</v>
      </c>
      <c r="J20" s="41" t="s">
        <v>6</v>
      </c>
      <c r="K20" s="41" t="s">
        <v>6</v>
      </c>
      <c r="L20" s="41" t="s">
        <v>6</v>
      </c>
      <c r="M20" s="44"/>
      <c r="N20" s="59"/>
      <c r="S20" s="34"/>
    </row>
    <row r="21" spans="1:19" ht="149.44999999999999" customHeight="1" x14ac:dyDescent="0.3">
      <c r="A21" s="10"/>
      <c r="B21" s="78" t="s">
        <v>103</v>
      </c>
      <c r="C21" s="21" t="s">
        <v>90</v>
      </c>
      <c r="D21" s="64" t="s">
        <v>73</v>
      </c>
      <c r="E21" s="41" t="s">
        <v>6</v>
      </c>
      <c r="F21" s="41" t="s">
        <v>6</v>
      </c>
      <c r="G21" s="41" t="s">
        <v>6</v>
      </c>
      <c r="H21" s="41" t="s">
        <v>6</v>
      </c>
      <c r="I21" s="41" t="s">
        <v>6</v>
      </c>
      <c r="J21" s="41" t="s">
        <v>6</v>
      </c>
      <c r="K21" s="41" t="s">
        <v>6</v>
      </c>
      <c r="L21" s="41" t="s">
        <v>6</v>
      </c>
      <c r="M21" s="44"/>
      <c r="N21" s="59"/>
      <c r="S21" s="35"/>
    </row>
    <row r="22" spans="1:19" ht="149.44999999999999" customHeight="1" x14ac:dyDescent="0.3">
      <c r="A22" s="49" t="s">
        <v>86</v>
      </c>
      <c r="B22" s="78" t="s">
        <v>61</v>
      </c>
      <c r="C22" s="76" t="str">
        <f>"System generated list of problem logs and incident reports (including operational failures) for all in-scope application from "&amp;TEXT('A. Organizational Information'!C3,"dd-MMM-yyyy")&amp;" to "&amp;TEXT('A. Organizational Information'!C4,"dd-MMM-yyyy")&amp;" which includes but not limited to the following:.
- Request date
- Closed date
- Request status
- Priority
- Severity"</f>
        <v>System generated list of problem logs and incident reports (including operational failures) for all in-scope application from 01-Jan-2025 to 31-Dec-2025 which includes but not limited to the following:.
- Request date
- Closed date
- Request status
- Priority
- Severity</v>
      </c>
      <c r="D22" s="64" t="s">
        <v>73</v>
      </c>
      <c r="E22" s="41" t="s">
        <v>7</v>
      </c>
      <c r="F22" s="41" t="s">
        <v>7</v>
      </c>
      <c r="G22" s="41" t="s">
        <v>7</v>
      </c>
      <c r="H22" s="41" t="s">
        <v>7</v>
      </c>
      <c r="I22" s="41" t="s">
        <v>7</v>
      </c>
      <c r="J22" s="41" t="s">
        <v>7</v>
      </c>
      <c r="K22" s="41" t="s">
        <v>7</v>
      </c>
      <c r="L22" s="41" t="s">
        <v>7</v>
      </c>
      <c r="M22" s="77"/>
      <c r="N22" s="59"/>
    </row>
    <row r="23" spans="1:19" ht="149.44999999999999" customHeight="1" x14ac:dyDescent="0.3">
      <c r="A23" s="50"/>
      <c r="B23" s="78" t="s">
        <v>62</v>
      </c>
      <c r="C23" s="21" t="s">
        <v>104</v>
      </c>
      <c r="D23" s="64" t="s">
        <v>73</v>
      </c>
      <c r="E23" s="41" t="s">
        <v>7</v>
      </c>
      <c r="F23" s="41" t="s">
        <v>7</v>
      </c>
      <c r="G23" s="41" t="s">
        <v>7</v>
      </c>
      <c r="H23" s="41" t="s">
        <v>7</v>
      </c>
      <c r="I23" s="41" t="s">
        <v>7</v>
      </c>
      <c r="J23" s="41" t="s">
        <v>7</v>
      </c>
      <c r="K23" s="41" t="s">
        <v>7</v>
      </c>
      <c r="L23" s="41" t="s">
        <v>7</v>
      </c>
      <c r="M23" s="77"/>
      <c r="N23" s="59"/>
    </row>
    <row r="24" spans="1:19" ht="149.44999999999999" customHeight="1" x14ac:dyDescent="0.3">
      <c r="A24" s="48"/>
      <c r="B24" s="78" t="s">
        <v>63</v>
      </c>
      <c r="C24" s="32" t="s">
        <v>105</v>
      </c>
      <c r="D24" s="64" t="s">
        <v>73</v>
      </c>
      <c r="E24" s="41" t="s">
        <v>7</v>
      </c>
      <c r="F24" s="41" t="s">
        <v>7</v>
      </c>
      <c r="G24" s="41" t="s">
        <v>7</v>
      </c>
      <c r="H24" s="41" t="s">
        <v>7</v>
      </c>
      <c r="I24" s="41" t="s">
        <v>7</v>
      </c>
      <c r="J24" s="41" t="s">
        <v>7</v>
      </c>
      <c r="K24" s="41" t="s">
        <v>7</v>
      </c>
      <c r="L24" s="41" t="s">
        <v>7</v>
      </c>
      <c r="M24" s="44"/>
      <c r="N24" s="59"/>
    </row>
    <row r="25" spans="1:19" ht="149.44999999999999" customHeight="1" x14ac:dyDescent="0.3">
      <c r="A25" s="50"/>
      <c r="B25" s="78" t="s">
        <v>64</v>
      </c>
      <c r="C25" s="31" t="s">
        <v>91</v>
      </c>
      <c r="D25" s="64" t="s">
        <v>73</v>
      </c>
      <c r="E25" s="41" t="s">
        <v>7</v>
      </c>
      <c r="F25" s="41" t="s">
        <v>7</v>
      </c>
      <c r="G25" s="41" t="s">
        <v>7</v>
      </c>
      <c r="H25" s="41" t="s">
        <v>7</v>
      </c>
      <c r="I25" s="41" t="s">
        <v>7</v>
      </c>
      <c r="J25" s="41" t="s">
        <v>7</v>
      </c>
      <c r="K25" s="41" t="s">
        <v>7</v>
      </c>
      <c r="L25" s="41" t="s">
        <v>7</v>
      </c>
      <c r="M25" s="77"/>
      <c r="N25" s="59"/>
    </row>
  </sheetData>
  <mergeCells count="4">
    <mergeCell ref="M7:M8"/>
    <mergeCell ref="N7:N8"/>
    <mergeCell ref="A7:D7"/>
    <mergeCell ref="E7:H7"/>
  </mergeCells>
  <conditionalFormatting sqref="D8:D21">
    <cfRule type="containsText" dxfId="13" priority="34" operator="containsText" text="Operating system">
      <formula>NOT(ISERROR(SEARCH("Operating system",D8)))</formula>
    </cfRule>
  </conditionalFormatting>
  <conditionalFormatting sqref="D9:D25">
    <cfRule type="containsText" dxfId="12" priority="35" operator="containsText" text="Operating system">
      <formula>NOT(ISERROR(SEARCH("Operating system",D9)))</formula>
    </cfRule>
    <cfRule type="containsText" dxfId="11" priority="36" operator="containsText" text="Database">
      <formula>NOT(ISERROR(SEARCH("Database",D9)))</formula>
    </cfRule>
    <cfRule type="containsText" dxfId="10" priority="37" operator="containsText" text="Application (APP)">
      <formula>NOT(ISERROR(SEARCH("Application (APP)",D9)))</formula>
    </cfRule>
  </conditionalFormatting>
  <conditionalFormatting sqref="D22:D23 D25">
    <cfRule type="containsText" dxfId="9" priority="38" operator="containsText" text="Operating system">
      <formula>NOT(ISERROR(SEARCH("Operating system",D22)))</formula>
    </cfRule>
  </conditionalFormatting>
  <conditionalFormatting sqref="D24">
    <cfRule type="containsText" dxfId="8" priority="1" operator="containsText" text="Operating system">
      <formula>NOT(ISERROR(SEARCH("Operating system",D24)))</formula>
    </cfRule>
  </conditionalFormatting>
  <dataValidations count="1">
    <dataValidation type="list" allowBlank="1" showInputMessage="1" showErrorMessage="1" sqref="M2:M5 E9:L25">
      <formula1>$Q$2:$Q$5</formula1>
    </dataValidation>
  </dataValidations>
  <pageMargins left="0.75" right="0.75" top="1" bottom="1" header="0.5" footer="0.5"/>
  <pageSetup paperSize="9" scale="48" fitToHeight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7989482-C808-4FF8-B52A-CF551C9F8C8A}">
            <xm:f>NOT(ISERROR(SEARCH($Q$5,E9)))</xm:f>
            <xm:f>$Q$5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3" operator="containsText" id="{2F493127-B254-48F2-96C2-23206007056E}">
            <xm:f>NOT(ISERROR(SEARCH($Q$4,E9)))</xm:f>
            <xm:f>$Q$4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" operator="containsText" id="{8343EF14-15CA-4858-BEB7-74739FCB5677}">
            <xm:f>NOT(ISERROR(SEARCH($Q$3,E9)))</xm:f>
            <xm:f>$Q$3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5" operator="containsText" id="{9630A037-FFAE-4F51-97F8-4B59760E9713}">
            <xm:f>NOT(ISERROR(SEARCH($Q$2,E9)))</xm:f>
            <xm:f>$Q$2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E9:L25</xm:sqref>
        </x14:conditionalFormatting>
        <x14:conditionalFormatting xmlns:xm="http://schemas.microsoft.com/office/excel/2006/main">
          <x14:cfRule type="containsText" priority="39" operator="containsText" id="{BCD61299-FDA9-454C-8B87-734FFEEF59CF}">
            <xm:f>NOT(ISERROR(SEARCH($Q$5,M2)))</xm:f>
            <xm:f>$Q$5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0" operator="containsText" id="{C7618F7B-9DED-48DC-9E71-BB3379B3B9D5}">
            <xm:f>NOT(ISERROR(SEARCH($Q$4,M2)))</xm:f>
            <xm:f>$Q$4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1" operator="containsText" id="{17F5D00F-C91E-447F-BB2C-DB98A3FB8867}">
            <xm:f>NOT(ISERROR(SEARCH($Q$3,M2)))</xm:f>
            <xm:f>$Q$3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2" operator="containsText" id="{B1D53642-35D8-43C9-ABED-D6D9E5B0BA6C}">
            <xm:f>NOT(ISERROR(SEARCH($Q$2,M2)))</xm:f>
            <xm:f>$Q$2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M2:M5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783645BAC3D42BF40C3300CADAAB2" ma:contentTypeVersion="3" ma:contentTypeDescription="Create a new document." ma:contentTypeScope="" ma:versionID="7a0a08027f75d95fad57b6261e1c04f1">
  <xsd:schema xmlns:xsd="http://www.w3.org/2001/XMLSchema" xmlns:xs="http://www.w3.org/2001/XMLSchema" xmlns:p="http://schemas.microsoft.com/office/2006/metadata/properties" xmlns:ns2="11dfdfa9-3ca7-4100-940f-7e21c01e78c8" targetNamespace="http://schemas.microsoft.com/office/2006/metadata/properties" ma:root="true" ma:fieldsID="7512c9fef440f0993a803d0559062b20" ns2:_="">
    <xsd:import namespace="11dfdfa9-3ca7-4100-940f-7e21c01e78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fdfa9-3ca7-4100-940f-7e21c01e78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8EDBC2-42F7-4CFB-BF91-AA1C42C1E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9F7317-27B8-4A3C-A568-828D4C26CB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fdfa9-3ca7-4100-940f-7e21c01e78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C0861-9A90-4D40-AE09-12899C84E33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A. Organizational Information</vt:lpstr>
      <vt:lpstr>B. Access to Program &amp; Data</vt:lpstr>
      <vt:lpstr>C. Program Changes</vt:lpstr>
      <vt:lpstr>D. Program Development</vt:lpstr>
      <vt:lpstr>E. Computer Operations</vt:lpstr>
      <vt:lpstr>'A. Organizational Information'!Print_Area</vt:lpstr>
      <vt:lpstr>'B. Access to Program &amp; Data'!Print_Area</vt:lpstr>
      <vt:lpstr>'C. Program Changes'!Print_Area</vt:lpstr>
      <vt:lpstr>'D. Program Development'!Print_Area</vt:lpstr>
      <vt:lpstr>'E. Computer Operations'!Print_Area</vt:lpstr>
    </vt:vector>
  </TitlesOfParts>
  <Manager/>
  <Company>BDO Binder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BDO Binder</dc:creator>
  <cp:keywords/>
  <dc:description/>
  <cp:lastModifiedBy>Chay Yee Kin</cp:lastModifiedBy>
  <cp:revision/>
  <dcterms:created xsi:type="dcterms:W3CDTF">2008-01-02T03:05:27Z</dcterms:created>
  <dcterms:modified xsi:type="dcterms:W3CDTF">2025-12-15T08:37:59Z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0x0101003CC783645BAC3D42BF40C3300CADAAB2</vt:lpwstr>
  </property>
</Properties>
</file>